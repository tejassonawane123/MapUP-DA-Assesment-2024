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9526d0afd6ab9ed/Desktop/MapUp-DA-Assessment-2024/"/>
    </mc:Choice>
  </mc:AlternateContent>
  <xr:revisionPtr revIDLastSave="137" documentId="13_ncr:1_{DCFAE75F-9014-204F-9FF0-0E1BF7430B80}" xr6:coauthVersionLast="47" xr6:coauthVersionMax="47" xr10:uidLastSave="{A8AA611A-4E61-4E62-B994-ECF7990B93DC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G23" i="20"/>
  <c r="F23" i="20"/>
  <c r="C22" i="19" a="1"/>
  <c r="C22" i="19" s="1"/>
  <c r="D30" i="18"/>
  <c r="C30" i="18"/>
  <c r="E30" i="18"/>
  <c r="F30" i="18"/>
  <c r="D29" i="18"/>
  <c r="E29" i="18"/>
  <c r="F29" i="18"/>
  <c r="C29" i="18"/>
  <c r="F28" i="18"/>
  <c r="E28" i="18"/>
  <c r="D28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30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<sst xmlns="http://schemas.openxmlformats.org/spreadsheetml/2006/main" count="415" uniqueCount="192">
  <si>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</si>
  <si>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</si>
  <si>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</si>
  <si>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</si>
  <si>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</si>
  <si>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</si>
  <si>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</si>
  <si>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</si>
  <si>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</si>
  <si>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</si>
  <si>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</si>
  <si>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</si>
  <si>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</si>
  <si>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</si>
  <si>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</si>
  <si>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</si>
  <si>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</si>
  <si>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</si>
  <si>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</si>
  <si>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</si>
  <si>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</si>
  <si>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</si>
  <si>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</si>
  <si>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</si>
  <si>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</si>
  <si>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</si>
  <si>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</si>
  <si>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</si>
  <si>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</si>
  <si>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</si>
  <si>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</si>
  <si>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</si>
  <si>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</si>
  <si>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</si>
  <si>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</si>
  <si>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</si>
  <si>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</si>
  <si>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</si>
  <si>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</si>
  <si>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</si>
  <si>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</si>
  <si>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</si>
  <si>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</si>
  <si>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</si>
  <si>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</si>
  <si>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</si>
  <si>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</si>
  <si>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</si>
  <si>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</si>
  <si>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</si>
  <si>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</si>
  <si>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</si>
  <si>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</si>
  <si>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</si>
  <si>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</si>
  <si>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</si>
  <si>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</si>
  <si>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</si>
  <si>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</si>
  <si>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</si>
  <si>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</si>
  <si>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</si>
  <si>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</si>
  <si>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</si>
  <si>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</si>
  <si>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</si>
  <si>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</si>
  <si>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</si>
  <si>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</si>
  <si>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</si>
  <si>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</si>
  <si>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</si>
  <si>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</si>
  <si>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</si>
  <si>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</si>
  <si>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</si>
  <si>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</si>
  <si>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</si>
  <si>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</si>
  <si>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</si>
  <si>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</si>
  <si>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</si>
  <si>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</si>
  <si>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</si>
  <si>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</si>
  <si>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</si>
  <si>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</si>
  <si>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</si>
  <si>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</si>
  <si>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</si>
  <si>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</si>
  <si>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</si>
  <si>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</si>
  <si>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</si>
  <si>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</si>
  <si>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</si>
  <si>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</si>
  <si>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</si>
  <si>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</si>
  <si>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</si>
  <si>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</si>
  <si>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</si>
  <si>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</si>
  <si>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</si>
  <si>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</si>
  <si>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</si>
  <si>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</si>
  <si>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</si>
  <si>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</si>
  <si>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</si>
  <si>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</si>
  <si>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</si>
  <si>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</si>
  <si>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</si>
  <si>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</si>
  <si>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</si>
  <si>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</si>
  <si>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</si>
  <si>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</si>
  <si>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</si>
  <si>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</si>
  <si>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</si>
  <si>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</si>
  <si>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</si>
  <si>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</si>
  <si>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</si>
  <si>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</si>
  <si>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</si>
  <si>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</si>
  <si>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</si>
  <si>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</si>
  <si>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</si>
  <si>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</si>
  <si>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</si>
  <si>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</si>
  <si>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</si>
  <si>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</si>
  <si>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</si>
  <si>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</si>
  <si>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</si>
  <si>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</si>
  <si>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</si>
  <si>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</si>
  <si>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</si>
  <si>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</si>
  <si>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</si>
  <si>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</si>
  <si>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</si>
  <si>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</si>
  <si>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</si>
  <si>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</si>
  <si>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</si>
  <si>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</si>
  <si>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</si>
  <si>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</si>
  <si>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</si>
  <si>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</si>
  <si>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</si>
  <si>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</si>
  <si>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</si>
  <si>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</si>
  <si>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</si>
  <si>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</si>
  <si>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</si>
  <si>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</si>
  <si>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</si>
  <si>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</si>
  <si>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</si>
  <si>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</si>
  <si>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</si>
  <si>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</si>
  <si>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</si>
  <si>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</si>
  <si>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</si>
  <si>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</si>
  <si>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</si>
  <si>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</si>
  <si>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</si>
  <si>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</si>
  <si>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Used Text to Columns</t>
  </si>
  <si>
    <r>
      <t>Step 2</t>
    </r>
    <r>
      <rPr>
        <sz val="10"/>
        <color rgb="FF000000"/>
        <rFont val="Times New Roman"/>
        <family val="1"/>
      </rPr>
      <t>: Go to the Data tab, and click on Text to Columns.</t>
    </r>
  </si>
  <si>
    <r>
      <t>Step 4</t>
    </r>
    <r>
      <rPr>
        <sz val="10"/>
        <color rgb="FF000000"/>
        <rFont val="Times New Roman"/>
        <family val="1"/>
      </rPr>
      <t>: Select Hyphen (-) as the delimiter and click Next.</t>
    </r>
  </si>
  <si>
    <r>
      <t>Step 5</t>
    </r>
    <r>
      <rPr>
        <sz val="10"/>
        <color rgb="FF000000"/>
        <rFont val="Times New Roman"/>
        <family val="1"/>
      </rPr>
      <t>: Choose Destination and click Finish.</t>
    </r>
  </si>
  <si>
    <r>
      <t>Step 3</t>
    </r>
    <r>
      <rPr>
        <sz val="10"/>
        <color rgb="FF000000"/>
        <rFont val="Times New Roman"/>
        <family val="1"/>
      </rPr>
      <t>: Choose Delimited and click Next.</t>
    </r>
  </si>
  <si>
    <t>SUM(IFERROR(C12:C21,20))</t>
  </si>
  <si>
    <r>
      <t xml:space="preserve">The </t>
    </r>
    <r>
      <rPr>
        <b/>
        <sz val="10"/>
        <color rgb="FF000000"/>
        <rFont val="Arial Unicode MS"/>
      </rPr>
      <t>IFERROR</t>
    </r>
    <r>
      <rPr>
        <sz val="10"/>
        <color rgb="FF000000"/>
        <rFont val="Times New Roman"/>
        <family val="1"/>
      </rPr>
      <t xml:space="preserve"> function checks if a cell contains an error (in this case,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), and if it does, it substitutes it with the value </t>
    </r>
    <r>
      <rPr>
        <sz val="10"/>
        <color rgb="FF000000"/>
        <rFont val="Arial Unicode MS"/>
      </rPr>
      <t>20</t>
    </r>
  </si>
  <si>
    <r>
      <t xml:space="preserve">The </t>
    </r>
    <r>
      <rPr>
        <b/>
        <sz val="10"/>
        <color rgb="FF000000"/>
        <rFont val="Arial Unicode MS"/>
      </rPr>
      <t>SUM</t>
    </r>
    <r>
      <rPr>
        <sz val="10"/>
        <color rgb="FF000000"/>
        <rFont val="Times New Roman"/>
        <family val="1"/>
      </rPr>
      <t xml:space="preserve"> function then adds up the entire column, using </t>
    </r>
    <r>
      <rPr>
        <sz val="10"/>
        <color rgb="FF000000"/>
        <rFont val="Arial Unicode MS"/>
      </rPr>
      <t>20</t>
    </r>
    <r>
      <rPr>
        <sz val="10"/>
        <color rgb="FF000000"/>
        <rFont val="Times New Roman"/>
        <family val="1"/>
      </rPr>
      <t xml:space="preserve"> in place of any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</t>
    </r>
  </si>
  <si>
    <t>Converted_name_1</t>
  </si>
  <si>
    <t>Converted_name_2</t>
  </si>
  <si>
    <t>Created new columns to convert name_1 and name_2 from Ids to name using VLOOKUP</t>
  </si>
  <si>
    <t>After that used INDEX and MATCH to get the value from Table_A</t>
  </si>
  <si>
    <t>INDEX($B$10:$J$18,MATCH(VLOOKUP(A23,$M$10:$N$18,2,FALSE),$A$10:$A$18,0),MATCH(VLOOKUP(B23,$M$10:$N$18,2,FALSE),$B$9:$J$9,0))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</si>
</sst>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  <font>
      <b/>
      <sz val="10"/>
      <color rgb="FF000000"/>
      <name val="Arial Unicode MS"/>
    </font>
    <font>
      <sz val="10"/>
      <color rgb="FF000000"/>
      <name val="Arial Unicode MS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5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0" fontId="19" fillId="0" borderId="0" xfId="0" applyFont="1"/>
    <xf numFmtId="0" fontId="3" fillId="0" borderId="0" xfId="0" applyFont="1"/>
    <xf numFmtId="0" fontId="12" fillId="6" borderId="12" xfId="0" applyFont="1" applyFill="1" applyBorder="1"/>
    <xf numFmtId="0" fontId="12" fillId="6" borderId="15" xfId="0" applyFont="1" applyFill="1" applyBorder="1"/>
    <xf numFmtId="0" fontId="1" fillId="7" borderId="12" xfId="0" applyFont="1" applyFill="1" applyBorder="1"/>
    <xf numFmtId="0" fontId="1" fillId="7" borderId="15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7" borderId="16" xfId="0" applyFont="1" applyFill="1" applyBorder="1"/>
    <xf numFmtId="0" fontId="1" fillId="7" borderId="17" xfId="0" applyFont="1" applyFill="1" applyBorder="1"/>
    <xf numFmtId="0" fontId="1" fillId="7" borderId="13" xfId="0" applyFont="1" applyFill="1" applyBorder="1"/>
    <xf numFmtId="0" fontId="1" fillId="7" borderId="14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</dxf>
    <dxf>
      <font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109</v>
      </c>
    </row>
    <row r="2" spans="1:3">
      <c r="A2" s="2" t="s">
        <v>110</v>
      </c>
    </row>
    <row r="3" spans="1:3">
      <c r="A3" s="2" t="s">
        <v>111</v>
      </c>
    </row>
    <row r="4" spans="1:3" ht="14.4">
      <c r="A4" s="2" t="s">
        <v>177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activeCell="P1" sqref="P1"/>
      <selection pane="bottomLeft" activeCell="C24" sqref="C24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6" sqref="D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8.6640625" style="1" bestFit="1" customWidth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105</v>
      </c>
      <c r="D5" s="1" t="s">
        <v>178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7" sqref="H27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164</v>
      </c>
    </row>
    <row r="2" spans="1:7" s="41" customFormat="1" ht="21">
      <c r="B2" s="41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162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>
        <f>VLOOKUP(A6,Dataset!A2:$X$40,7, FALSE)</f>
        <v>2.7</v>
      </c>
      <c r="C6" s="12">
        <f>VLOOKUP(A6,Dataset!A2:$X$40,14, FALSE)</f>
        <v>7.6</v>
      </c>
      <c r="D6" s="12">
        <f>VLOOKUP(A6,Dataset!A2:$X$40,18, FALSE)</f>
        <v>4.2</v>
      </c>
      <c r="E6" s="12">
        <f>VLOOKUP(A6,Dataset!A2:$X$40,20, FALSE)</f>
        <v>8.9</v>
      </c>
      <c r="F6" s="8">
        <f>VLOOKUP(A6,Dataset!A2:$X$40,22, FALSE)</f>
        <v>4.2</v>
      </c>
    </row>
    <row r="7" spans="1:7" ht="14.4">
      <c r="A7" s="7" t="s">
        <v>4</v>
      </c>
      <c r="B7" s="12">
        <f>VLOOKUP(A7,Dataset!A3:$X$40,7, FALSE)</f>
        <v>2.7</v>
      </c>
      <c r="C7" s="12">
        <f>VLOOKUP(A7,Dataset!A3:$X$40,14, FALSE)</f>
        <v>7.6</v>
      </c>
      <c r="D7" s="12">
        <f>VLOOKUP(A7,Dataset!A3:$X$40,18, FALSE)</f>
        <v>4.2</v>
      </c>
      <c r="E7" s="12">
        <f>VLOOKUP(A7,Dataset!A3:$X$40,20, FALSE)</f>
        <v>8.9</v>
      </c>
      <c r="F7" s="8">
        <f>VLOOKUP(A7,Dataset!A3:$X$40,22, FALSE)</f>
        <v>4.2</v>
      </c>
    </row>
    <row r="8" spans="1:7" ht="14.4">
      <c r="A8" s="7" t="s">
        <v>7</v>
      </c>
      <c r="B8" s="12">
        <f>VLOOKUP(A8,Dataset!A4:$X$40,7, FALSE)</f>
        <v>3.6</v>
      </c>
      <c r="C8" s="12">
        <f>VLOOKUP(A8,Dataset!A4:$X$40,14, FALSE)</f>
        <v>11.1</v>
      </c>
      <c r="D8" s="12">
        <f>VLOOKUP(A8,Dataset!A4:$X$40,18, FALSE)</f>
        <v>5.8</v>
      </c>
      <c r="E8" s="12">
        <f>VLOOKUP(A8,Dataset!A4:$X$40,20, FALSE)</f>
        <v>12.2</v>
      </c>
      <c r="F8" s="8">
        <f>VLOOKUP(A8,Dataset!A4:$X$40,22, FALSE)</f>
        <v>5.8</v>
      </c>
    </row>
    <row r="9" spans="1:7" ht="14.4">
      <c r="A9" s="7" t="s">
        <v>8</v>
      </c>
      <c r="B9" s="12">
        <f>VLOOKUP(A9,Dataset!A5:$X$40,7, FALSE)</f>
        <v>4.9000000000000004</v>
      </c>
      <c r="C9" s="12">
        <f>VLOOKUP(A9,Dataset!A5:$X$40,14, FALSE)</f>
        <v>13.3</v>
      </c>
      <c r="D9" s="12">
        <f>VLOOKUP(A9,Dataset!A5:$X$40,18, FALSE)</f>
        <v>8.1</v>
      </c>
      <c r="E9" s="12">
        <f>VLOOKUP(A9,Dataset!A5:$X$40,20, FALSE)</f>
        <v>17</v>
      </c>
      <c r="F9" s="8">
        <f>VLOOKUP(A9,Dataset!A5:$X$40,22, FALSE)</f>
        <v>8.1</v>
      </c>
    </row>
    <row r="10" spans="1:7" ht="14.4">
      <c r="A10" s="7" t="s">
        <v>11</v>
      </c>
      <c r="B10" s="12">
        <f>VLOOKUP(A10,Dataset!A6:$X$40,7, FALSE)</f>
        <v>9.4</v>
      </c>
      <c r="C10" s="12">
        <f>VLOOKUP(A10,Dataset!A6:$X$40,14, FALSE)</f>
        <v>28.3</v>
      </c>
      <c r="D10" s="12">
        <f>VLOOKUP(A10,Dataset!A6:$X$40,18, FALSE)</f>
        <v>16.100000000000001</v>
      </c>
      <c r="E10" s="12">
        <f>VLOOKUP(A10,Dataset!A6:$X$40,20, FALSE)</f>
        <v>32.799999999999997</v>
      </c>
      <c r="F10" s="8">
        <f>VLOOKUP(A10,Dataset!A6:$X$40,22, FALSE)</f>
        <v>16.100000000000001</v>
      </c>
    </row>
    <row r="11" spans="1:7" ht="14.4">
      <c r="A11" s="7" t="s">
        <v>12</v>
      </c>
      <c r="B11" s="12">
        <f>VLOOKUP(A11,Dataset!A7:$X$40,7, FALSE)</f>
        <v>11.6</v>
      </c>
      <c r="C11" s="12">
        <f>VLOOKUP(A11,Dataset!A7:$X$40,14, FALSE)</f>
        <v>35.200000000000003</v>
      </c>
      <c r="D11" s="12">
        <f>VLOOKUP(A11,Dataset!A7:$X$40,18, FALSE)</f>
        <v>21.3</v>
      </c>
      <c r="E11" s="12">
        <f>VLOOKUP(A11,Dataset!A7:$X$40,20, FALSE)</f>
        <v>43</v>
      </c>
      <c r="F11" s="8">
        <f>VLOOKUP(A11,Dataset!A7:$X$40,22, FALSE)</f>
        <v>21.3</v>
      </c>
    </row>
    <row r="12" spans="1:7" ht="14.4">
      <c r="A12" s="7" t="s">
        <v>14</v>
      </c>
      <c r="B12" s="12">
        <f>VLOOKUP(A12,Dataset!A8:$X$40,7, FALSE)</f>
        <v>18.399999999999999</v>
      </c>
      <c r="C12" s="12">
        <f>VLOOKUP(A12,Dataset!A8:$X$40,14, FALSE)</f>
        <v>55.6</v>
      </c>
      <c r="D12" s="12">
        <f>VLOOKUP(A12,Dataset!A8:$X$40,18, FALSE)</f>
        <v>33.799999999999997</v>
      </c>
      <c r="E12" s="12">
        <f>VLOOKUP(A12,Dataset!A8:$X$40,20, FALSE)</f>
        <v>67.900000000000006</v>
      </c>
      <c r="F12" s="8">
        <f>VLOOKUP(A12,Dataset!A8:$X$40,22, FALSE)</f>
        <v>33.799999999999997</v>
      </c>
    </row>
    <row r="13" spans="1:7" ht="14.4">
      <c r="A13" s="7" t="s">
        <v>15</v>
      </c>
      <c r="B13" s="12">
        <f>VLOOKUP(A13,Dataset!A9:$X$40,7, FALSE)</f>
        <v>0</v>
      </c>
      <c r="C13" s="12">
        <f>VLOOKUP(A13,Dataset!A9:$X$40,14, FALSE)</f>
        <v>0</v>
      </c>
      <c r="D13" s="12">
        <f>VLOOKUP(A13,Dataset!A9:$X$40,18, FALSE)</f>
        <v>0</v>
      </c>
      <c r="E13" s="12">
        <f>VLOOKUP(A13,Dataset!A9:$X$40,20, FALSE)</f>
        <v>0</v>
      </c>
      <c r="F13" s="8">
        <f>VLOOKUP(A13,Dataset!A9:$X$40,22, FALSE)</f>
        <v>0</v>
      </c>
    </row>
    <row r="14" spans="1:7" ht="14.4">
      <c r="A14" s="7" t="s">
        <v>16</v>
      </c>
      <c r="B14" s="12">
        <f>VLOOKUP(A14,Dataset!A10:$X$40,7, FALSE)</f>
        <v>21.9</v>
      </c>
      <c r="C14" s="12">
        <f>VLOOKUP(A14,Dataset!A10:$X$40,14, FALSE)</f>
        <v>61.5</v>
      </c>
      <c r="D14" s="12">
        <f>VLOOKUP(A14,Dataset!A10:$X$40,18, FALSE)</f>
        <v>40.1</v>
      </c>
      <c r="E14" s="12">
        <f>VLOOKUP(A14,Dataset!A10:$X$40,20, FALSE)</f>
        <v>76.599999999999994</v>
      </c>
      <c r="F14" s="8">
        <f>VLOOKUP(A14,Dataset!A10:$X$40,22, FALSE)</f>
        <v>40.1</v>
      </c>
    </row>
    <row r="15" spans="1:7" ht="14.4">
      <c r="A15" s="7" t="s">
        <v>18</v>
      </c>
      <c r="B15" s="12">
        <f>VLOOKUP(A15,Dataset!A11:$X$40,7, FALSE)</f>
        <v>26.8</v>
      </c>
      <c r="C15" s="12">
        <f>VLOOKUP(A15,Dataset!A11:$X$40,14, FALSE)</f>
        <v>79.599999999999994</v>
      </c>
      <c r="D15" s="12">
        <f>VLOOKUP(A15,Dataset!A11:$X$40,18, FALSE)</f>
        <v>47.9</v>
      </c>
      <c r="E15" s="12">
        <f>VLOOKUP(A15,Dataset!A11:$X$40,20, FALSE)</f>
        <v>96.8</v>
      </c>
      <c r="F15" s="8">
        <f>VLOOKUP(A15,Dataset!A11:$X$40,22, FALSE)</f>
        <v>47.9</v>
      </c>
    </row>
    <row r="16" spans="1:7" ht="14.4">
      <c r="A16" s="7" t="s">
        <v>20</v>
      </c>
      <c r="B16" s="12">
        <f>VLOOKUP(A16,Dataset!A12:$X$40,7, FALSE)</f>
        <v>28.5</v>
      </c>
      <c r="C16" s="12">
        <f>VLOOKUP(A16,Dataset!A12:$X$40,14, FALSE)</f>
        <v>85.4</v>
      </c>
      <c r="D16" s="12">
        <f>VLOOKUP(A16,Dataset!A12:$X$40,18, FALSE)</f>
        <v>52.3</v>
      </c>
      <c r="E16" s="12">
        <f>VLOOKUP(A16,Dataset!A12:$X$40,20, FALSE)</f>
        <v>106.1</v>
      </c>
      <c r="F16" s="8">
        <f>VLOOKUP(A16,Dataset!A12:$X$40,22, FALSE)</f>
        <v>52.3</v>
      </c>
    </row>
    <row r="17" spans="1:6" ht="14.4">
      <c r="A17" s="7" t="s">
        <v>22</v>
      </c>
      <c r="B17" s="12">
        <f>VLOOKUP(A17,Dataset!A13:$X$40,7, FALSE)</f>
        <v>30.7</v>
      </c>
      <c r="C17" s="12">
        <f>VLOOKUP(A17,Dataset!A13:$X$40,14, FALSE)</f>
        <v>92.1</v>
      </c>
      <c r="D17" s="12">
        <f>VLOOKUP(A17,Dataset!A13:$X$40,18, FALSE)</f>
        <v>57</v>
      </c>
      <c r="E17" s="12">
        <f>VLOOKUP(A17,Dataset!A13:$X$40,20, FALSE)</f>
        <v>115.1</v>
      </c>
      <c r="F17" s="8">
        <f>VLOOKUP(A17,Dataset!A13:$X$40,22, FALSE)</f>
        <v>57</v>
      </c>
    </row>
    <row r="18" spans="1:6" ht="14.4">
      <c r="A18" s="7" t="s">
        <v>23</v>
      </c>
      <c r="B18" s="12">
        <f>VLOOKUP(A18,Dataset!A14:$X$40,7, FALSE)</f>
        <v>33.799999999999997</v>
      </c>
      <c r="C18" s="12">
        <f>VLOOKUP(A18,Dataset!A14:$X$40,14, FALSE)</f>
        <v>101.3</v>
      </c>
      <c r="D18" s="12">
        <f>VLOOKUP(A18,Dataset!A14:$X$40,18, FALSE)</f>
        <v>61.4</v>
      </c>
      <c r="E18" s="12">
        <f>VLOOKUP(A18,Dataset!A14:$X$40,20, FALSE)</f>
        <v>124.4</v>
      </c>
      <c r="F18" s="8">
        <f>VLOOKUP(A18,Dataset!A14:$X$40,22, FALSE)</f>
        <v>61.4</v>
      </c>
    </row>
    <row r="19" spans="1:6" ht="14.4">
      <c r="A19" s="7" t="s">
        <v>24</v>
      </c>
      <c r="B19" s="12">
        <f>VLOOKUP(A19,Dataset!A15:$X$40,7, FALSE)</f>
        <v>34.700000000000003</v>
      </c>
      <c r="C19" s="12">
        <f>VLOOKUP(A19,Dataset!A15:$X$40,14, FALSE)</f>
        <v>106.1</v>
      </c>
      <c r="D19" s="12">
        <f>VLOOKUP(A19,Dataset!A15:$X$40,18, FALSE)</f>
        <v>63.6</v>
      </c>
      <c r="E19" s="12">
        <f>VLOOKUP(A19,Dataset!A15:$X$40,20, FALSE)</f>
        <v>128.6</v>
      </c>
      <c r="F19" s="8">
        <f>VLOOKUP(A19,Dataset!A15:$X$40,22, FALSE)</f>
        <v>63.6</v>
      </c>
    </row>
    <row r="20" spans="1:6" ht="14.4">
      <c r="A20" s="7" t="s">
        <v>28</v>
      </c>
      <c r="B20" s="12">
        <f>VLOOKUP(A20,Dataset!A16:$X$40,7, FALSE)</f>
        <v>0</v>
      </c>
      <c r="C20" s="12">
        <f>VLOOKUP(A20,Dataset!A16:$X$40,14, FALSE)</f>
        <v>0</v>
      </c>
      <c r="D20" s="12">
        <f>VLOOKUP(A20,Dataset!A16:$X$40,18, FALSE)</f>
        <v>0</v>
      </c>
      <c r="E20" s="12">
        <f>VLOOKUP(A20,Dataset!A16:$X$40,20, FALSE)</f>
        <v>0</v>
      </c>
      <c r="F20" s="8">
        <f>VLOOKUP(A20,Dataset!A16:$X$40,22, FALSE)</f>
        <v>0</v>
      </c>
    </row>
    <row r="21" spans="1:6" ht="14.4">
      <c r="A21" s="7" t="s">
        <v>57</v>
      </c>
      <c r="B21" s="12">
        <f>VLOOKUP(A21,Dataset!A17:$X$40,7, FALSE)</f>
        <v>41.3</v>
      </c>
      <c r="C21" s="12">
        <f>VLOOKUP(A21,Dataset!A17:$X$40,14, FALSE)</f>
        <v>124.4</v>
      </c>
      <c r="D21" s="12">
        <f>VLOOKUP(A21,Dataset!A17:$X$40,18, FALSE)</f>
        <v>75</v>
      </c>
      <c r="E21" s="12">
        <f>VLOOKUP(A21,Dataset!A17:$X$40,20, FALSE)</f>
        <v>151.5</v>
      </c>
      <c r="F21" s="8">
        <f>VLOOKUP(A21,Dataset!A17:$X$40,22, FALSE)</f>
        <v>75</v>
      </c>
    </row>
    <row r="22" spans="1:6" ht="14.4">
      <c r="A22" s="7" t="s">
        <v>58</v>
      </c>
      <c r="B22" s="12">
        <f>VLOOKUP(A22,Dataset!A18:$X$40,7, FALSE)</f>
        <v>-1</v>
      </c>
      <c r="C22" s="12">
        <f>VLOOKUP(A22,Dataset!A18:$X$40,14, FALSE)</f>
        <v>-1</v>
      </c>
      <c r="D22" s="12">
        <f>VLOOKUP(A22,Dataset!A18:$X$40,18, FALSE)</f>
        <v>-1</v>
      </c>
      <c r="E22" s="12">
        <f>VLOOKUP(A22,Dataset!A18:$X$40,20, FALSE)</f>
        <v>-1</v>
      </c>
      <c r="F22" s="8">
        <f>VLOOKUP(A22,Dataset!A18:$X$40,22, FALSE)</f>
        <v>-1</v>
      </c>
    </row>
    <row r="23" spans="1:6" ht="14.4">
      <c r="A23" s="7" t="s">
        <v>31</v>
      </c>
      <c r="B23" s="12">
        <f>VLOOKUP(A23,Dataset!A19:$X$40,7, FALSE)</f>
        <v>45</v>
      </c>
      <c r="C23" s="12">
        <f>VLOOKUP(A23,Dataset!A19:$X$40,14, FALSE)</f>
        <v>133.4</v>
      </c>
      <c r="D23" s="12">
        <f>VLOOKUP(A23,Dataset!A19:$X$40,18, FALSE)</f>
        <v>79.400000000000006</v>
      </c>
      <c r="E23" s="12">
        <f>VLOOKUP(A23,Dataset!A19:$X$40,20, FALSE)</f>
        <v>160.9</v>
      </c>
      <c r="F23" s="8">
        <f>VLOOKUP(A23,Dataset!A19:$X$40,22, FALSE)</f>
        <v>79.400000000000006</v>
      </c>
    </row>
    <row r="24" spans="1:6" ht="14.4">
      <c r="A24" s="7" t="s">
        <v>32</v>
      </c>
      <c r="B24" s="12">
        <f>VLOOKUP(A24,Dataset!A20:$X$40,7, FALSE)</f>
        <v>-1</v>
      </c>
      <c r="C24" s="12">
        <f>VLOOKUP(A24,Dataset!A20:$X$40,14, FALSE)</f>
        <v>-1</v>
      </c>
      <c r="D24" s="12">
        <f>VLOOKUP(A24,Dataset!A20:$X$40,18, FALSE)</f>
        <v>-1</v>
      </c>
      <c r="E24" s="12">
        <f>VLOOKUP(A24,Dataset!A20:$X$40,20, FALSE)</f>
        <v>-1</v>
      </c>
      <c r="F24" s="8">
        <f>VLOOKUP(A24,Dataset!A20:$X$40,22, FALSE)</f>
        <v>-1</v>
      </c>
    </row>
    <row r="25" spans="1:6" ht="14.4">
      <c r="A25" s="7" t="s">
        <v>34</v>
      </c>
      <c r="B25" s="12">
        <f>VLOOKUP(A25,Dataset!A21:$X$40,7, FALSE)</f>
        <v>43.3</v>
      </c>
      <c r="C25" s="12">
        <f>VLOOKUP(A25,Dataset!A21:$X$40,14, FALSE)</f>
        <v>128.6</v>
      </c>
      <c r="D25" s="12">
        <f>VLOOKUP(A25,Dataset!A21:$X$40,18, FALSE)</f>
        <v>79.400000000000006</v>
      </c>
      <c r="E25" s="12">
        <f>VLOOKUP(A25,Dataset!A21:$X$40,20, FALSE)</f>
        <v>160.9</v>
      </c>
      <c r="F25" s="8">
        <f>VLOOKUP(A25,Dataset!A21:$X$40,22, FALSE)</f>
        <v>79.400000000000006</v>
      </c>
    </row>
    <row r="26" spans="1:6" ht="14.4">
      <c r="A26" s="7" t="s">
        <v>37</v>
      </c>
      <c r="B26" s="12">
        <f>VLOOKUP(A26,Dataset!A22:$X$40,7, FALSE)</f>
        <v>49.1</v>
      </c>
      <c r="C26" s="12">
        <f>VLOOKUP(A26,Dataset!A22:$X$40,14, FALSE)</f>
        <v>146.80000000000001</v>
      </c>
      <c r="D26" s="12">
        <f>VLOOKUP(A26,Dataset!A22:$X$40,18, FALSE)</f>
        <v>90.9</v>
      </c>
      <c r="E26" s="12">
        <f>VLOOKUP(A26,Dataset!A22:$X$40,20, FALSE)</f>
        <v>183.5</v>
      </c>
      <c r="F26" s="8">
        <f>VLOOKUP(A26,Dataset!A22:$X$40,22, FALSE)</f>
        <v>90.9</v>
      </c>
    </row>
    <row r="27" spans="1:6" ht="14.4">
      <c r="A27" s="7" t="s">
        <v>39</v>
      </c>
      <c r="B27" s="12">
        <f>VLOOKUP(A27,Dataset!A23:$X$40,7, FALSE)</f>
        <v>51.8</v>
      </c>
      <c r="C27" s="12">
        <f>VLOOKUP(A27,Dataset!A23:$X$40,14, FALSE)</f>
        <v>156.4</v>
      </c>
      <c r="D27" s="12">
        <f>VLOOKUP(A27,Dataset!A23:$X$40,18, FALSE)</f>
        <v>93.1</v>
      </c>
      <c r="E27" s="12">
        <f>VLOOKUP(A27,Dataset!A23:$X$40,20, FALSE)</f>
        <v>188.1</v>
      </c>
      <c r="F27" s="8">
        <f>VLOOKUP(A27,Dataset!A23:$X$40,22, FALSE)</f>
        <v>93.1</v>
      </c>
    </row>
    <row r="28" spans="1:6" ht="14.4">
      <c r="A28" s="19" t="s">
        <v>82</v>
      </c>
      <c r="B28" s="17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>
      <c r="A29" s="19" t="s">
        <v>83</v>
      </c>
      <c r="B29" s="17">
        <f>MAX(B6:B27)</f>
        <v>51.8</v>
      </c>
      <c r="C29" s="31">
        <f>MAX(C6:C27)</f>
        <v>156.4</v>
      </c>
      <c r="D29" s="31">
        <f>MAX(D6:D27)</f>
        <v>93.1</v>
      </c>
      <c r="E29" s="31">
        <f t="shared" ref="E29:F29" si="0">MAX(E6:E27)</f>
        <v>188.1</v>
      </c>
      <c r="F29" s="31">
        <f t="shared" si="0"/>
        <v>93.1</v>
      </c>
    </row>
    <row r="30" spans="1:6" ht="14.4">
      <c r="A30" s="19" t="s">
        <v>84</v>
      </c>
      <c r="B30" s="17">
        <f>AVERAGE(B6:B27)</f>
        <v>20.827272727272728</v>
      </c>
      <c r="C30" s="17">
        <f t="shared" ref="C30:F30" si="1">AVERAGE(C6:C27)</f>
        <v>62.377272727272725</v>
      </c>
      <c r="D30" s="17">
        <f>AVERAGE(D6:D27)</f>
        <v>37.800000000000004</v>
      </c>
      <c r="E30" s="17">
        <f t="shared" si="1"/>
        <v>76.418181818181822</v>
      </c>
      <c r="F30" s="17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8" sqref="H8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18">
      <c r="A5" s="43" t="s">
        <v>53</v>
      </c>
      <c r="B5" s="40" t="s">
        <v>179</v>
      </c>
    </row>
    <row r="6" spans="1:10" ht="18">
      <c r="A6" s="43" t="s">
        <v>153</v>
      </c>
      <c r="B6" s="47" t="s">
        <v>180</v>
      </c>
    </row>
    <row r="7" spans="1:10" ht="18">
      <c r="A7" s="43"/>
      <c r="B7" s="47" t="s">
        <v>183</v>
      </c>
    </row>
    <row r="8" spans="1:10">
      <c r="B8" s="47" t="s">
        <v>181</v>
      </c>
    </row>
    <row r="9" spans="1:10" ht="23.4">
      <c r="A9" s="18" t="s">
        <v>165</v>
      </c>
      <c r="B9" s="47" t="s">
        <v>182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22" sqref="E22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167</v>
      </c>
    </row>
    <row r="2" spans="1:3" ht="18">
      <c r="B2" s="40" t="s">
        <v>166</v>
      </c>
    </row>
    <row r="5" spans="1:3" ht="14.4">
      <c r="B5" s="1" t="s">
        <v>151</v>
      </c>
    </row>
    <row r="6" spans="1:3" ht="14.4">
      <c r="A6" s="3" t="s">
        <v>53</v>
      </c>
      <c r="B6" s="1" t="s">
        <v>184</v>
      </c>
    </row>
    <row r="7" spans="1:3" ht="14.4">
      <c r="A7" s="3" t="s">
        <v>153</v>
      </c>
      <c r="B7" s="48" t="s">
        <v>185</v>
      </c>
    </row>
    <row r="8" spans="1:3">
      <c r="B8" s="48" t="s">
        <v>186</v>
      </c>
    </row>
    <row r="10" spans="1:3" ht="23.4">
      <c r="A10" s="18" t="s">
        <v>162</v>
      </c>
    </row>
    <row r="11" spans="1:3" ht="14.4">
      <c r="A11" s="32" t="s">
        <v>86</v>
      </c>
      <c r="B11" s="17" t="s">
        <v>87</v>
      </c>
      <c r="C11" s="17" t="s">
        <v>88</v>
      </c>
    </row>
    <row r="12" spans="1:3" ht="14.4">
      <c r="A12" s="32">
        <v>44927</v>
      </c>
      <c r="B12" s="17" t="s">
        <v>59</v>
      </c>
      <c r="C12" s="17">
        <v>200</v>
      </c>
    </row>
    <row r="13" spans="1:3" ht="14.4">
      <c r="A13" s="32">
        <v>44928</v>
      </c>
      <c r="B13" s="17" t="s">
        <v>60</v>
      </c>
      <c r="C13" s="17" t="e">
        <v>#N/A</v>
      </c>
    </row>
    <row r="14" spans="1:3" ht="14.4">
      <c r="A14" s="32">
        <v>44929</v>
      </c>
      <c r="B14" s="17" t="s">
        <v>61</v>
      </c>
      <c r="C14" s="17">
        <v>50</v>
      </c>
    </row>
    <row r="15" spans="1:3" ht="14.4">
      <c r="A15" s="32">
        <v>44930</v>
      </c>
      <c r="B15" s="17" t="s">
        <v>62</v>
      </c>
      <c r="C15" s="17" t="e">
        <v>#N/A</v>
      </c>
    </row>
    <row r="16" spans="1:3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154</v>
      </c>
      <c r="C17" s="17">
        <v>150</v>
      </c>
    </row>
    <row r="18" spans="1:3" ht="14.4">
      <c r="A18" s="32">
        <v>44933</v>
      </c>
      <c r="B18" s="17" t="s">
        <v>155</v>
      </c>
      <c r="C18" s="17">
        <v>80</v>
      </c>
    </row>
    <row r="19" spans="1:3" ht="14.4">
      <c r="A19" s="32">
        <v>44934</v>
      </c>
      <c r="B19" s="17" t="s">
        <v>156</v>
      </c>
      <c r="C19" s="17" t="e">
        <v>#N/A</v>
      </c>
    </row>
    <row r="20" spans="1:3" ht="14.4">
      <c r="A20" s="32">
        <v>44935</v>
      </c>
      <c r="B20" s="17" t="s">
        <v>157</v>
      </c>
      <c r="C20" s="17">
        <v>30</v>
      </c>
    </row>
    <row r="21" spans="1:3" ht="14.4">
      <c r="A21" s="32">
        <v>44936</v>
      </c>
      <c r="B21" s="17" t="s">
        <v>158</v>
      </c>
      <c r="C21" s="17" t="e">
        <v>#N/A</v>
      </c>
    </row>
    <row r="22" spans="1:3" ht="14.4">
      <c r="B22" s="17" t="s">
        <v>159</v>
      </c>
      <c r="C22" s="25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D7" sqref="D7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4.4">
      <c r="B3" s="1" t="s">
        <v>151</v>
      </c>
    </row>
    <row r="4" spans="1:14" ht="18">
      <c r="A4" s="43" t="s">
        <v>53</v>
      </c>
      <c r="B4" s="1"/>
      <c r="C4" s="2" t="s">
        <v>191</v>
      </c>
    </row>
    <row r="5" spans="1:14" ht="18">
      <c r="A5" s="43" t="s">
        <v>153</v>
      </c>
      <c r="B5" s="1" t="s">
        <v>189</v>
      </c>
    </row>
    <row r="6" spans="1:14" ht="14.4">
      <c r="A6" s="3"/>
      <c r="B6" s="1" t="s">
        <v>190</v>
      </c>
    </row>
    <row r="8" spans="1:14" ht="23.4">
      <c r="A8" s="18" t="s">
        <v>162</v>
      </c>
      <c r="M8" s="18" t="s">
        <v>163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168</v>
      </c>
    </row>
    <row r="22" spans="1:14" ht="14.4">
      <c r="A22" s="49" t="s">
        <v>100</v>
      </c>
      <c r="B22" s="50" t="s">
        <v>101</v>
      </c>
      <c r="C22" s="16" t="s">
        <v>102</v>
      </c>
      <c r="F22" s="2" t="s">
        <v>187</v>
      </c>
      <c r="G22" s="2" t="s">
        <v>188</v>
      </c>
    </row>
    <row r="23" spans="1:14" ht="14.4">
      <c r="A23" s="51">
        <v>10100</v>
      </c>
      <c r="B23" s="52">
        <v>10102</v>
      </c>
      <c r="C23" s="44">
        <f>INDEX($B$10:$J$18,MATCH(F23,$A$10:$A$18,0),MATCH(G23,$B$9:$J$9,0))</f>
        <v>95</v>
      </c>
      <c r="F23" s="2" t="str">
        <f>VLOOKUP(A23,$M$10:$N$18,2,FALSE)</f>
        <v>A</v>
      </c>
      <c r="G23" s="2" t="str">
        <f>VLOOKUP(B23,$M$10:$N$18,2,FALSE)</f>
        <v>B</v>
      </c>
    </row>
    <row r="24" spans="1:14" ht="14.4">
      <c r="A24" s="53">
        <v>10100</v>
      </c>
      <c r="B24" s="54">
        <v>10104</v>
      </c>
      <c r="C24" s="44">
        <f t="shared" ref="C24:C35" si="0">INDEX($B$10:$J$18,MATCH(F24,$A$10:$A$18,0),MATCH(G24,$B$9:$J$9,0))</f>
        <v>-1</v>
      </c>
      <c r="F24" s="2" t="str">
        <f t="shared" ref="F24:F35" si="1">VLOOKUP(A24,$M$10:$N$18,2,FALSE)</f>
        <v>A</v>
      </c>
      <c r="G24" s="2" t="str">
        <f t="shared" ref="G24:G35" si="2">VLOOKUP(B24,$M$10:$N$18,2,FALSE)</f>
        <v>C</v>
      </c>
    </row>
    <row r="25" spans="1:14" ht="14.4">
      <c r="A25" s="55">
        <v>10108</v>
      </c>
      <c r="B25" s="56">
        <v>10102</v>
      </c>
      <c r="C25" s="44">
        <f t="shared" si="0"/>
        <v>160</v>
      </c>
      <c r="F25" s="2" t="str">
        <f t="shared" si="1"/>
        <v>E</v>
      </c>
      <c r="G25" s="2" t="str">
        <f t="shared" si="2"/>
        <v>B</v>
      </c>
    </row>
    <row r="26" spans="1:14" ht="14.4">
      <c r="A26" s="53">
        <v>10100</v>
      </c>
      <c r="B26" s="54">
        <v>10106</v>
      </c>
      <c r="C26" s="44">
        <f t="shared" si="0"/>
        <v>185</v>
      </c>
      <c r="F26" s="2" t="str">
        <f t="shared" si="1"/>
        <v>A</v>
      </c>
      <c r="G26" s="2" t="str">
        <f t="shared" si="2"/>
        <v>D</v>
      </c>
    </row>
    <row r="27" spans="1:14" ht="14.4">
      <c r="A27" s="55">
        <v>10108</v>
      </c>
      <c r="B27" s="56">
        <v>10110</v>
      </c>
      <c r="C27" s="44">
        <f t="shared" si="0"/>
        <v>50</v>
      </c>
      <c r="F27" s="2" t="str">
        <f t="shared" si="1"/>
        <v>E</v>
      </c>
      <c r="G27" s="2" t="str">
        <f t="shared" si="2"/>
        <v>F</v>
      </c>
    </row>
    <row r="28" spans="1:14" ht="14.4">
      <c r="A28" s="53">
        <v>10102</v>
      </c>
      <c r="B28" s="54">
        <v>10104</v>
      </c>
      <c r="C28" s="44">
        <f t="shared" si="0"/>
        <v>-1</v>
      </c>
      <c r="F28" s="2" t="str">
        <f t="shared" si="1"/>
        <v>B</v>
      </c>
      <c r="G28" s="2" t="str">
        <f t="shared" si="2"/>
        <v>C</v>
      </c>
    </row>
    <row r="29" spans="1:14" ht="14.4">
      <c r="A29" s="55">
        <v>10106</v>
      </c>
      <c r="B29" s="56">
        <v>10108</v>
      </c>
      <c r="C29" s="44">
        <f t="shared" si="0"/>
        <v>70</v>
      </c>
      <c r="F29" s="2" t="str">
        <f t="shared" si="1"/>
        <v>D</v>
      </c>
      <c r="G29" s="2" t="str">
        <f t="shared" si="2"/>
        <v>E</v>
      </c>
    </row>
    <row r="30" spans="1:14" ht="14.4">
      <c r="A30" s="53">
        <v>10102</v>
      </c>
      <c r="B30" s="54">
        <v>10106</v>
      </c>
      <c r="C30" s="44">
        <f t="shared" si="0"/>
        <v>90</v>
      </c>
      <c r="F30" s="2" t="str">
        <f t="shared" si="1"/>
        <v>B</v>
      </c>
      <c r="G30" s="2" t="str">
        <f t="shared" si="2"/>
        <v>D</v>
      </c>
    </row>
    <row r="31" spans="1:14" ht="14.4">
      <c r="A31" s="55">
        <v>10110</v>
      </c>
      <c r="B31" s="56">
        <v>10114</v>
      </c>
      <c r="C31" s="44">
        <f t="shared" si="0"/>
        <v>180</v>
      </c>
      <c r="F31" s="2" t="str">
        <f t="shared" si="1"/>
        <v>F</v>
      </c>
      <c r="G31" s="2" t="str">
        <f t="shared" si="2"/>
        <v>H</v>
      </c>
    </row>
    <row r="32" spans="1:14" ht="14.4">
      <c r="A32" s="53">
        <v>10104</v>
      </c>
      <c r="B32" s="54">
        <v>10106</v>
      </c>
      <c r="C32" s="44">
        <f t="shared" si="0"/>
        <v>60</v>
      </c>
      <c r="F32" s="2" t="str">
        <f t="shared" si="1"/>
        <v>C</v>
      </c>
      <c r="G32" s="2" t="str">
        <f t="shared" si="2"/>
        <v>D</v>
      </c>
    </row>
    <row r="33" spans="1:7" ht="14.4">
      <c r="A33" s="55">
        <v>10110</v>
      </c>
      <c r="B33" s="56">
        <v>10112</v>
      </c>
      <c r="C33" s="44">
        <f t="shared" si="0"/>
        <v>115</v>
      </c>
      <c r="F33" s="2" t="str">
        <f t="shared" si="1"/>
        <v>F</v>
      </c>
      <c r="G33" s="2" t="str">
        <f t="shared" si="2"/>
        <v>G</v>
      </c>
    </row>
    <row r="34" spans="1:7" ht="14.4">
      <c r="A34" s="53">
        <v>10100</v>
      </c>
      <c r="B34" s="54">
        <v>10114</v>
      </c>
      <c r="C34" s="44">
        <f t="shared" si="0"/>
        <v>480</v>
      </c>
      <c r="F34" s="2" t="str">
        <f t="shared" si="1"/>
        <v>A</v>
      </c>
      <c r="G34" s="2" t="str">
        <f t="shared" si="2"/>
        <v>H</v>
      </c>
    </row>
    <row r="35" spans="1:7" ht="14.4">
      <c r="A35" s="57">
        <v>10112</v>
      </c>
      <c r="B35" s="58">
        <v>10116</v>
      </c>
      <c r="C35" s="44">
        <f t="shared" si="0"/>
        <v>105</v>
      </c>
      <c r="F35" s="2" t="str">
        <f t="shared" si="1"/>
        <v>G</v>
      </c>
      <c r="G35" s="2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Aditya jaysawal</cp:lastModifiedBy>
  <dcterms:created xsi:type="dcterms:W3CDTF">2015-02-10T17:33:11Z</dcterms:created>
  <dcterms:modified xsi:type="dcterms:W3CDTF">2024-10-22T09:25:27Z</dcterms:modified>
</cp:coreProperties>
</file>