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harath\Downloads\MapUp-DA-Assessment-2024-main\MapUp-DA-Assessment-2024-main\"/>
    </mc:Choice>
  </mc:AlternateContent>
  <xr:revisionPtr revIDLastSave="0" documentId="13_ncr:1_{A75997D1-E876-44F2-87D2-E0479D4E5F5C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B8" i="18" l="1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8" i="18"/>
  <c r="F30" i="18"/>
  <c r="E30" i="18"/>
  <c r="D30" i="18"/>
  <c r="C30" i="18"/>
  <c r="F29" i="18"/>
  <c r="E29" i="18"/>
  <c r="D29" i="18"/>
  <c r="C29" i="18"/>
  <c r="F28" i="18"/>
  <c r="D28" i="18"/>
  <c r="E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2" i="19"/>
  <c r="C21" i="19"/>
  <c r="C19" i="19"/>
  <c r="C15" i="19"/>
  <c r="C13" i="19"/>
  <c r="B28" i="18"/>
  <c r="B29" i="18"/>
  <c r="H3" i="1"/>
  <c r="B7" i="18"/>
  <c r="B30" i="18"/>
</calcChain>
</file>

<file path=xl/sharedStrings.xml><?xml version="1.0" encoding="utf-8"?>
<sst xmlns="http://schemas.openxmlformats.org/spreadsheetml/2006/main" count="425" uniqueCount="203">
  <si>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</si>
  <si>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</si>
  <si>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</si>
  <si>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</si>
  <si>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</si>
  <si>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</si>
  <si>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</si>
  <si>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</si>
  <si>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</si>
  <si>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</si>
  <si>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</si>
  <si>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</si>
  <si>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</si>
  <si>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</si>
  <si>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</si>
  <si>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</si>
  <si>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</si>
  <si>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</si>
  <si>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</si>
  <si>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</si>
  <si>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</si>
  <si>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</si>
  <si>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</si>
  <si>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</si>
  <si>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</si>
  <si>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</si>
  <si>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</si>
  <si>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</si>
  <si>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</si>
  <si>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</si>
  <si>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</si>
  <si>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</si>
  <si>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</si>
  <si>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</si>
  <si>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</si>
  <si>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</si>
  <si>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</si>
  <si>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</si>
  <si>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</si>
  <si>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</si>
  <si>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</si>
  <si>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</si>
  <si>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</si>
  <si>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</si>
  <si>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</si>
  <si>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</si>
  <si>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</si>
  <si>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</si>
  <si>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</si>
  <si>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</si>
  <si>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</si>
  <si>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</si>
  <si>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</si>
  <si>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</si>
  <si>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</si>
  <si>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</si>
  <si>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</si>
  <si>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</si>
  <si>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</si>
  <si>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</si>
  <si>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</si>
  <si>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</si>
  <si>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</si>
  <si>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</si>
  <si>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</si>
  <si>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</si>
  <si>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</si>
  <si>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</si>
  <si>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</si>
  <si>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</si>
  <si>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</si>
  <si>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</si>
  <si>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</si>
  <si>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</si>
  <si>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</si>
  <si>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</si>
  <si>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</si>
  <si>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</si>
  <si>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</si>
  <si>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</si>
  <si>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</si>
  <si>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</si>
  <si>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</si>
  <si>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</si>
  <si>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</si>
  <si>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</si>
  <si>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</si>
  <si>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</si>
  <si>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</si>
  <si>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</si>
  <si>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</si>
  <si>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</si>
  <si>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</si>
  <si>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</si>
  <si>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</si>
  <si>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</si>
  <si>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</si>
  <si>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</si>
  <si>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</si>
  <si>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</si>
  <si>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</si>
  <si>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</si>
  <si>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</si>
  <si>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</si>
  <si>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</si>
  <si>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</si>
  <si>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</si>
  <si>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</si>
  <si>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</si>
  <si>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</si>
  <si>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</si>
  <si>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</si>
  <si>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</si>
  <si>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</si>
  <si>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</si>
  <si>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</si>
  <si>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</si>
  <si>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</si>
  <si>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</si>
  <si>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</si>
  <si>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</si>
  <si>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</si>
  <si>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</si>
  <si>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</si>
  <si>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</si>
  <si>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</si>
  <si>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</si>
  <si>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</si>
  <si>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</si>
  <si>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</si>
  <si>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</si>
  <si>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</si>
  <si>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</si>
  <si>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</si>
  <si>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</si>
  <si>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</si>
  <si>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</si>
  <si>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</si>
  <si>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</si>
  <si>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</si>
  <si>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</si>
  <si>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</si>
  <si>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</si>
  <si>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</si>
  <si>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</si>
  <si>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</si>
  <si>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</si>
  <si>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</si>
  <si>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</si>
  <si>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</si>
  <si>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</si>
  <si>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</si>
  <si>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</si>
  <si>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</si>
  <si>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</si>
  <si>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</si>
  <si>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</si>
  <si>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</si>
  <si>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</si>
  <si>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</si>
  <si>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</si>
  <si>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</si>
  <si>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</si>
  <si>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</si>
  <si>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</si>
  <si>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</si>
  <si>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</si>
  <si>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</si>
  <si>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</si>
  <si>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</si>
  <si>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</si>
  <si>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</si>
  <si>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</si>
  <si>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</si>
  <si>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</si>
  <si>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</si>
  <si>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</si>
  <si>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</si>
  <si>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 xml:space="preserve">Task 1 </t>
  </si>
  <si>
    <r>
      <t xml:space="preserve">1.1  To change the font color of cells containing -1 to red 0 to green in Excel, select the cells, go to </t>
    </r>
    <r>
      <rPr>
        <b/>
        <sz val="10"/>
        <color rgb="FF000000"/>
        <rFont val="Times New Roman"/>
        <family val="1"/>
      </rPr>
      <t>Home &gt; Conditional Formatting &gt; New Rule</t>
    </r>
    <r>
      <rPr>
        <sz val="10"/>
        <color rgb="FF000000"/>
        <rFont val="Times New Roman"/>
        <family val="1"/>
      </rPr>
      <t xml:space="preserve">, use the formula </t>
    </r>
    <r>
      <rPr>
        <sz val="10"/>
        <color rgb="FF000000"/>
        <rFont val="Arial Unicode MS"/>
      </rPr>
      <t>=A1=-1</t>
    </r>
    <r>
      <rPr>
        <sz val="10"/>
        <color rgb="FF000000"/>
        <rFont val="Times New Roman"/>
        <family val="1"/>
      </rPr>
      <t xml:space="preserve">, set the font color to red, and click </t>
    </r>
    <r>
      <rPr>
        <b/>
        <sz val="10"/>
        <color rgb="FF000000"/>
        <rFont val="Times New Roman"/>
        <family val="1"/>
      </rPr>
      <t>OK</t>
    </r>
  </si>
  <si>
    <t>1.2 To freeze the top row in Excel, select Row 1, go to View &gt; Freeze Panes, and choose Freeze Top Row</t>
  </si>
  <si>
    <t>1.3=SUMIF(H:H, "&gt;20") in Excel to sum all values greater than 20 in column H (labelled 'car2')</t>
  </si>
  <si>
    <t>1.4Select column X, right-click, choose Format Cells, select Custom, enter yyyy-mm-dd, and click OK to format the dates.</t>
  </si>
  <si>
    <t>Task2</t>
  </si>
  <si>
    <t>Task3</t>
  </si>
  <si>
    <r>
      <t>Text to Columns; use the Data tab to split values in Table_A using a hyphen (</t>
    </r>
    <r>
      <rPr>
        <sz val="10"/>
        <color rgb="FF000000"/>
        <rFont val="Arial Unicode MS"/>
      </rPr>
      <t>-</t>
    </r>
    <r>
      <rPr>
        <sz val="10"/>
        <color rgb="FF000000"/>
        <rFont val="Times New Roman"/>
        <family val="1"/>
      </rPr>
      <t>) as the delimiter to fill distinct columns for col_1, col_3, col_4, col_5, and col_6.</t>
    </r>
  </si>
  <si>
    <t>Explanation:=SUM(IFERROR(C2:C10, 20)); this substitutes #N/A values in the Sales column with 20 and calculates the total sum 12:21.</t>
  </si>
  <si>
    <t>Task 4</t>
  </si>
  <si>
    <t>=SUM(IFERROR(C2:C10, 20)); this substitutes #N/A values in the Sales column with 20 and calculates the total sum 12:21.</t>
  </si>
  <si>
    <t>For car1 in B6:=VLOOKUP(A6, Dataset!$A$1:$Z$100, 8, FALSE)</t>
  </si>
  <si>
    <t>For taxi2 in F6:=VLOOKUP(A6, Dataset!$A$1:$Z$100, 22, FALSE)</t>
  </si>
  <si>
    <t>For truck2 in E6:=VLOOKUP(A6, Dataset!$A$1:$Z$100, 20, FALSE)</t>
  </si>
  <si>
    <t>For bus2 in C6:=VLOOKUP(A6, Dataset!$A$1:$Z$100, 14, FALSE)</t>
  </si>
  <si>
    <t>For rv3 in D6:=VLOOKUP(A6, Dataset!$A$1:$Z$100, 18, FALSE)</t>
  </si>
  <si>
    <r>
      <rPr>
        <b/>
        <sz val="10"/>
        <color rgb="FF000000"/>
        <rFont val="Times New Roman"/>
        <family val="1"/>
      </rPr>
      <t>Minimum</t>
    </r>
    <r>
      <rPr>
        <sz val="10"/>
        <color rgb="FF000000"/>
        <rFont val="Times New Roman"/>
        <family val="1"/>
      </rPr>
      <t>:=MIN(B6:B27)  (for car1, repeat for other columns)</t>
    </r>
  </si>
  <si>
    <r>
      <t>Maximum</t>
    </r>
    <r>
      <rPr>
        <sz val="10"/>
        <color rgb="FF000000"/>
        <rFont val="Times New Roman"/>
        <family val="1"/>
      </rPr>
      <t>:</t>
    </r>
    <r>
      <rPr>
        <b/>
        <sz val="10"/>
        <color rgb="FF000000"/>
        <rFont val="Times New Roman"/>
        <family val="1"/>
      </rPr>
      <t>=</t>
    </r>
    <r>
      <rPr>
        <sz val="10"/>
        <color rgb="FF000000"/>
        <rFont val="Times New Roman"/>
        <family val="1"/>
      </rPr>
      <t>MAX(B6:B27)  (for car1, repeat for other columns)</t>
    </r>
  </si>
  <si>
    <r>
      <t>Average</t>
    </r>
    <r>
      <rPr>
        <sz val="10"/>
        <color rgb="FF000000"/>
        <rFont val="Times New Roman"/>
        <family val="1"/>
      </rPr>
      <t>:</t>
    </r>
    <r>
      <rPr>
        <b/>
        <sz val="10"/>
        <color rgb="FF000000"/>
        <rFont val="Times New Roman"/>
        <family val="1"/>
      </rPr>
      <t>=</t>
    </r>
    <r>
      <rPr>
        <sz val="10"/>
        <color rgb="FF000000"/>
        <rFont val="Times New Roman"/>
        <family val="1"/>
      </rPr>
      <t>AVERAGE(B6:B27)  (for car1, repeat for other columns)</t>
    </r>
  </si>
  <si>
    <t>Task 5</t>
  </si>
  <si>
    <r>
      <t xml:space="preserve">Use the formula below in </t>
    </r>
    <r>
      <rPr>
        <b/>
        <sz val="10"/>
        <color rgb="FF000000"/>
        <rFont val="Times New Roman"/>
        <family val="1"/>
      </rPr>
      <t>C23</t>
    </r>
    <r>
      <rPr>
        <sz val="10"/>
        <color rgb="FF000000"/>
        <rFont val="Times New Roman"/>
        <family val="1"/>
      </rPr>
      <t xml:space="preserve"> of </t>
    </r>
    <r>
      <rPr>
        <b/>
        <sz val="10"/>
        <color rgb="FF000000"/>
        <rFont val="Times New Roman"/>
        <family val="1"/>
      </rPr>
      <t>Table_C</t>
    </r>
    <r>
      <rPr>
        <sz val="10"/>
        <color rgb="FF000000"/>
        <rFont val="Times New Roman"/>
        <family val="1"/>
      </rPr>
      <t>:</t>
    </r>
  </si>
  <si>
    <r>
      <rPr>
        <b/>
        <sz val="10"/>
        <color rgb="FF000000"/>
        <rFont val="Calibri"/>
        <family val="2"/>
        <scheme val="minor"/>
      </rPr>
      <t>FORMULA:</t>
    </r>
    <r>
      <rPr>
        <sz val="10"/>
        <color rgb="FF000000"/>
        <rFont val="Calibri"/>
        <family val="2"/>
        <scheme val="minor"/>
      </rPr>
      <t>=INDEX($B$10:$J$18, MATCH(VLOOKUP(A23, $K$10:$L$18, 2, FALSE), $A$10:$A$18, 0), MATCH(VLOOKUP(B23, $K$10:$L$18, 2, FALSE), $B$9:$J$9, 0))</t>
    </r>
  </si>
  <si>
    <r>
      <t xml:space="preserve">Press </t>
    </r>
    <r>
      <rPr>
        <b/>
        <sz val="10"/>
        <color rgb="FF000000"/>
        <rFont val="Times New Roman"/>
        <family val="1"/>
      </rPr>
      <t>Enter</t>
    </r>
    <r>
      <rPr>
        <sz val="10"/>
        <color rgb="FF000000"/>
        <rFont val="Times New Roman"/>
        <family val="1"/>
      </rPr>
      <t xml:space="preserve"> and drag the formula down for all rows in </t>
    </r>
    <r>
      <rPr>
        <b/>
        <sz val="10"/>
        <color rgb="FF000000"/>
        <rFont val="Times New Roman"/>
        <family val="1"/>
      </rPr>
      <t>Table_C</t>
    </r>
    <r>
      <rPr>
        <sz val="10"/>
        <color rgb="FF000000"/>
        <rFont val="Times New Roman"/>
        <family val="1"/>
      </rPr>
      <t>.</t>
    </r>
  </si>
  <si>
    <r>
      <t>Ensure the lookup tables (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 and </t>
    </r>
    <r>
      <rPr>
        <b/>
        <sz val="10"/>
        <color rgb="FF000000"/>
        <rFont val="Times New Roman"/>
        <family val="1"/>
      </rPr>
      <t>Table_B</t>
    </r>
    <r>
      <rPr>
        <sz val="10"/>
        <color rgb="FF000000"/>
        <rFont val="Times New Roman"/>
        <family val="1"/>
      </rPr>
      <t>) have no formatting issues.</t>
    </r>
  </si>
  <si>
    <r>
      <t xml:space="preserve">This will fill the "value" column in </t>
    </r>
    <r>
      <rPr>
        <b/>
        <sz val="10"/>
        <color rgb="FF000000"/>
        <rFont val="Times New Roman"/>
        <family val="1"/>
      </rPr>
      <t>Table_C</t>
    </r>
    <r>
      <rPr>
        <sz val="10"/>
        <color rgb="FF000000"/>
        <rFont val="Times New Roman"/>
        <family val="1"/>
      </rPr>
      <t xml:space="preserve"> based on matching data from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 and </t>
    </r>
    <r>
      <rPr>
        <b/>
        <sz val="10"/>
        <color rgb="FF000000"/>
        <rFont val="Times New Roman"/>
        <family val="1"/>
      </rPr>
      <t>Table_B</t>
    </r>
    <r>
      <rPr>
        <sz val="10"/>
        <color rgb="FF000000"/>
        <rFont val="Times New Roman"/>
        <family val="1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</si>
</sst>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00"/>
      <name val="Times New Roman"/>
      <family val="1"/>
    </font>
    <font>
      <sz val="10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2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19" fillId="0" borderId="0" xfId="0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C0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45"/>
  <sheetViews>
    <sheetView topLeftCell="A23" zoomScaleNormal="100" workbookViewId="0">
      <selection activeCell="C44" sqref="C44"/>
    </sheetView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9" t="s">
        <v>109</v>
      </c>
    </row>
    <row r="2" spans="1:3">
      <c r="A2" s="2" t="s">
        <v>110</v>
      </c>
    </row>
    <row r="3" spans="1:3">
      <c r="A3" s="2" t="s">
        <v>111</v>
      </c>
    </row>
    <row r="4" spans="1:3" ht="14.4">
      <c r="A4" s="2" t="s">
        <v>177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6" t="s">
        <v>171</v>
      </c>
      <c r="B9" s="26" t="s">
        <v>169</v>
      </c>
    </row>
    <row r="10" spans="1:3">
      <c r="A10" s="35" t="s">
        <v>172</v>
      </c>
      <c r="B10" s="37">
        <v>25</v>
      </c>
    </row>
    <row r="11" spans="1:3">
      <c r="A11" s="35" t="s">
        <v>55</v>
      </c>
      <c r="B11" s="37">
        <v>30</v>
      </c>
    </row>
    <row r="12" spans="1:3">
      <c r="A12" s="35" t="s">
        <v>56</v>
      </c>
      <c r="B12" s="37">
        <v>10</v>
      </c>
    </row>
    <row r="13" spans="1:3">
      <c r="A13" s="35" t="s">
        <v>85</v>
      </c>
      <c r="B13" s="37">
        <v>20</v>
      </c>
    </row>
    <row r="14" spans="1:3">
      <c r="A14" s="35" t="s">
        <v>98</v>
      </c>
      <c r="B14" s="37">
        <v>40</v>
      </c>
    </row>
    <row r="15" spans="1:3">
      <c r="A15" s="38" t="s">
        <v>170</v>
      </c>
      <c r="B15" s="25">
        <v>125</v>
      </c>
    </row>
    <row r="18" spans="1:1">
      <c r="A18" s="2" t="s">
        <v>178</v>
      </c>
    </row>
    <row r="19" spans="1:1">
      <c r="A19" s="46" t="s">
        <v>179</v>
      </c>
    </row>
    <row r="20" spans="1:1">
      <c r="A20" s="2" t="s">
        <v>180</v>
      </c>
    </row>
    <row r="21" spans="1:1">
      <c r="A21" s="2" t="s">
        <v>181</v>
      </c>
    </row>
    <row r="22" spans="1:1">
      <c r="A22" s="2" t="s">
        <v>182</v>
      </c>
    </row>
    <row r="24" spans="1:1">
      <c r="A24" s="2" t="s">
        <v>183</v>
      </c>
    </row>
    <row r="25" spans="1:1">
      <c r="A25" s="2" t="s">
        <v>189</v>
      </c>
    </row>
    <row r="26" spans="1:1">
      <c r="A26" s="46" t="s">
        <v>192</v>
      </c>
    </row>
    <row r="27" spans="1:1">
      <c r="A27" s="46" t="s">
        <v>193</v>
      </c>
    </row>
    <row r="28" spans="1:1">
      <c r="A28" s="46" t="s">
        <v>191</v>
      </c>
    </row>
    <row r="29" spans="1:1">
      <c r="A29" s="46" t="s">
        <v>190</v>
      </c>
    </row>
    <row r="30" spans="1:1">
      <c r="A30" s="46" t="s">
        <v>194</v>
      </c>
    </row>
    <row r="31" spans="1:1">
      <c r="A31" s="50" t="s">
        <v>195</v>
      </c>
    </row>
    <row r="32" spans="1:1">
      <c r="A32" s="50" t="s">
        <v>196</v>
      </c>
    </row>
    <row r="34" spans="1:1">
      <c r="A34" s="2" t="s">
        <v>184</v>
      </c>
    </row>
    <row r="35" spans="1:1">
      <c r="A35" s="46" t="s">
        <v>185</v>
      </c>
    </row>
    <row r="37" spans="1:1">
      <c r="A37" s="2" t="s">
        <v>187</v>
      </c>
    </row>
    <row r="38" spans="1:1">
      <c r="A38" s="2" t="s">
        <v>188</v>
      </c>
    </row>
    <row r="40" spans="1:1">
      <c r="A40" s="2" t="s">
        <v>197</v>
      </c>
    </row>
    <row r="41" spans="1:1">
      <c r="A41" s="46" t="s">
        <v>198</v>
      </c>
    </row>
    <row r="42" spans="1:1">
      <c r="A42" s="2" t="s">
        <v>199</v>
      </c>
    </row>
    <row r="43" spans="1:1">
      <c r="A43" s="46" t="s">
        <v>200</v>
      </c>
    </row>
    <row r="44" spans="1:1">
      <c r="A44" s="46" t="s">
        <v>201</v>
      </c>
    </row>
    <row r="45" spans="1:1">
      <c r="A45" s="46" t="s">
        <v>202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="60" zoomScaleNormal="60" workbookViewId="0">
      <pane ySplit="1" topLeftCell="A2" activePane="bottomLeft" state="frozen"/>
      <selection pane="bottomLeft" activeCell="Q45" sqref="Q45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8" bestFit="1" customWidth="1"/>
    <col min="25" max="16384" width="9" style="1"/>
  </cols>
  <sheetData>
    <row r="1" spans="1:24" s="3" customFormat="1" ht="14.7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7" t="s">
        <v>106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f ca="1">SUMIF(H:H, "&gt;20")</f>
        <v>0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E1:W40"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3541C98-3D74-4158-A9E7-1C5C22E5FACE}">
            <xm:f>NOT(ISERROR(SEARCH(-1,A1)))</xm:f>
            <xm:f>-1</xm:f>
            <x14:dxf>
              <fill>
                <patternFill>
                  <bgColor rgb="FFC00000"/>
                </patternFill>
              </fill>
            </x14:dxf>
          </x14:cfRule>
          <xm:sqref>A1:X40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4" sqref="B24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108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4" t="s">
        <v>105</v>
      </c>
      <c r="E5" s="1">
        <v>10</v>
      </c>
    </row>
    <row r="6" spans="1:5">
      <c r="A6" s="6">
        <v>4</v>
      </c>
      <c r="B6" s="2" t="s">
        <v>107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77" zoomScaleNormal="100" workbookViewId="0">
      <selection activeCell="B34" sqref="B34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>
      <c r="A1" s="42" t="s">
        <v>55</v>
      </c>
      <c r="B1" s="41" t="s">
        <v>164</v>
      </c>
    </row>
    <row r="2" spans="1:7" s="41" customFormat="1" ht="21">
      <c r="B2" s="41" t="s">
        <v>161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8" t="s">
        <v>162</v>
      </c>
      <c r="B4" s="1"/>
      <c r="C4" s="1"/>
      <c r="D4" s="1"/>
      <c r="E4" s="1"/>
      <c r="F4" s="1"/>
      <c r="G4" s="1"/>
    </row>
    <row r="5" spans="1:7" ht="14.4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>
      <c r="A6" s="7" t="s">
        <v>40</v>
      </c>
      <c r="B6" s="12">
        <f>VLOOKUP(A6, Dataset!$A$1:$Z$100, 8, FALSE)</f>
        <v>3.6</v>
      </c>
      <c r="C6" s="12">
        <f>VLOOKUP(A6, Dataset!$A$1:$Z$100, 14, FALSE)</f>
        <v>7.6</v>
      </c>
      <c r="D6" s="12">
        <f>VLOOKUP(A6, Dataset!$A$1:$Z$100, 18, FALSE)</f>
        <v>4.2</v>
      </c>
      <c r="E6" s="12">
        <f>VLOOKUP(A6, Dataset!$A$1:$Z$100, 20, FALSE)</f>
        <v>8.9</v>
      </c>
      <c r="F6" s="8">
        <f>VLOOKUP(A6, Dataset!$A$1:$Z$100, 22, FALSE)</f>
        <v>4.2</v>
      </c>
    </row>
    <row r="7" spans="1:7" ht="14.4">
      <c r="A7" s="7" t="s">
        <v>4</v>
      </c>
      <c r="B7" s="12">
        <f ca="1">VLOOKUP(A7, Dataset!$A$1:$Z$100, 8, FALSE)</f>
        <v>3.6</v>
      </c>
      <c r="C7" s="12">
        <f>VLOOKUP(A7, Dataset!$A$1:$Z$100, 14, FALSE)</f>
        <v>7.6</v>
      </c>
      <c r="D7" s="12">
        <f>VLOOKUP(A7, Dataset!$A$1:$Z$100, 18, FALSE)</f>
        <v>4.2</v>
      </c>
      <c r="E7" s="12">
        <f>VLOOKUP(A7, Dataset!$A$1:$Z$100, 20, FALSE)</f>
        <v>8.9</v>
      </c>
      <c r="F7" s="8">
        <f>VLOOKUP(A7, Dataset!$A$1:$Z$100, 22, FALSE)</f>
        <v>4.2</v>
      </c>
    </row>
    <row r="8" spans="1:7" ht="14.4">
      <c r="A8" s="7" t="s">
        <v>7</v>
      </c>
      <c r="B8" s="12">
        <f>VLOOKUP(A8, Dataset!$A$1:$Z$100, 8, FALSE)</f>
        <v>5.4</v>
      </c>
      <c r="C8" s="12">
        <f>VLOOKUP(A8, Dataset!$A$1:$Z$100, 14, FALSE)</f>
        <v>11.1</v>
      </c>
      <c r="D8" s="12">
        <f>VLOOKUP(A8, Dataset!$A$1:$Z$100, 18, FALSE)</f>
        <v>5.8</v>
      </c>
      <c r="E8" s="12">
        <f>VLOOKUP(A8, Dataset!$A$1:$Z$100, 20, FALSE)</f>
        <v>12.2</v>
      </c>
      <c r="F8" s="8">
        <f>VLOOKUP(A8, Dataset!$A$1:$Z$100, 22, FALSE)</f>
        <v>5.8</v>
      </c>
    </row>
    <row r="9" spans="1:7" ht="14.4">
      <c r="A9" s="7" t="s">
        <v>8</v>
      </c>
      <c r="B9" s="12">
        <f>VLOOKUP(A9, Dataset!$A$1:$Z$100, 8, FALSE)</f>
        <v>6.6</v>
      </c>
      <c r="C9" s="12">
        <f>VLOOKUP(A9, Dataset!$A$1:$Z$100, 14, FALSE)</f>
        <v>13.3</v>
      </c>
      <c r="D9" s="12">
        <f>VLOOKUP(A9, Dataset!$A$1:$Z$100, 18, FALSE)</f>
        <v>8.1</v>
      </c>
      <c r="E9" s="12">
        <f>VLOOKUP(A9, Dataset!$A$1:$Z$100, 20, FALSE)</f>
        <v>17</v>
      </c>
      <c r="F9" s="8">
        <f>VLOOKUP(A9, Dataset!$A$1:$Z$100, 22, FALSE)</f>
        <v>8.1</v>
      </c>
    </row>
    <row r="10" spans="1:7" ht="14.4">
      <c r="A10" s="7" t="s">
        <v>11</v>
      </c>
      <c r="B10" s="12">
        <f>VLOOKUP(A10, Dataset!$A$1:$Z$100, 8, FALSE)</f>
        <v>13.8</v>
      </c>
      <c r="C10" s="12">
        <f>VLOOKUP(A10, Dataset!$A$1:$Z$100, 14, FALSE)</f>
        <v>28.3</v>
      </c>
      <c r="D10" s="12">
        <f>VLOOKUP(A10, Dataset!$A$1:$Z$100, 18, FALSE)</f>
        <v>16.100000000000001</v>
      </c>
      <c r="E10" s="12">
        <f>VLOOKUP(A10, Dataset!$A$1:$Z$100, 20, FALSE)</f>
        <v>32.799999999999997</v>
      </c>
      <c r="F10" s="8">
        <f>VLOOKUP(A10, Dataset!$A$1:$Z$100, 22, FALSE)</f>
        <v>16.100000000000001</v>
      </c>
    </row>
    <row r="11" spans="1:7" ht="14.4">
      <c r="A11" s="7" t="s">
        <v>12</v>
      </c>
      <c r="B11" s="12">
        <f>VLOOKUP(A11, Dataset!$A$1:$Z$100, 8, FALSE)</f>
        <v>17.3</v>
      </c>
      <c r="C11" s="12">
        <f>VLOOKUP(A11, Dataset!$A$1:$Z$100, 14, FALSE)</f>
        <v>35.200000000000003</v>
      </c>
      <c r="D11" s="12">
        <f>VLOOKUP(A11, Dataset!$A$1:$Z$100, 18, FALSE)</f>
        <v>21.3</v>
      </c>
      <c r="E11" s="12">
        <f>VLOOKUP(A11, Dataset!$A$1:$Z$100, 20, FALSE)</f>
        <v>43</v>
      </c>
      <c r="F11" s="8">
        <f>VLOOKUP(A11, Dataset!$A$1:$Z$100, 22, FALSE)</f>
        <v>21.3</v>
      </c>
    </row>
    <row r="12" spans="1:7" ht="14.4">
      <c r="A12" s="7" t="s">
        <v>14</v>
      </c>
      <c r="B12" s="12">
        <f>VLOOKUP(A12, Dataset!$A$1:$Z$100, 8, FALSE)</f>
        <v>27.5</v>
      </c>
      <c r="C12" s="12">
        <f>VLOOKUP(A12, Dataset!$A$1:$Z$100, 14, FALSE)</f>
        <v>55.6</v>
      </c>
      <c r="D12" s="12">
        <f>VLOOKUP(A12, Dataset!$A$1:$Z$100, 18, FALSE)</f>
        <v>33.799999999999997</v>
      </c>
      <c r="E12" s="12">
        <f>VLOOKUP(A12, Dataset!$A$1:$Z$100, 20, FALSE)</f>
        <v>67.900000000000006</v>
      </c>
      <c r="F12" s="8">
        <f>VLOOKUP(A12, Dataset!$A$1:$Z$100, 22, FALSE)</f>
        <v>33.799999999999997</v>
      </c>
    </row>
    <row r="13" spans="1:7" ht="14.4">
      <c r="A13" s="7" t="s">
        <v>15</v>
      </c>
      <c r="B13" s="12">
        <f>VLOOKUP(A13, Dataset!$A$1:$Z$100, 8, FALSE)</f>
        <v>0</v>
      </c>
      <c r="C13" s="12">
        <f>VLOOKUP(A13, Dataset!$A$1:$Z$100, 14, FALSE)</f>
        <v>0</v>
      </c>
      <c r="D13" s="12">
        <f>VLOOKUP(A13, Dataset!$A$1:$Z$100, 18, FALSE)</f>
        <v>0</v>
      </c>
      <c r="E13" s="12">
        <f>VLOOKUP(A13, Dataset!$A$1:$Z$100, 20, FALSE)</f>
        <v>0</v>
      </c>
      <c r="F13" s="8">
        <f>VLOOKUP(A13, Dataset!$A$1:$Z$100, 22, FALSE)</f>
        <v>0</v>
      </c>
    </row>
    <row r="14" spans="1:7" ht="14.4">
      <c r="A14" s="7" t="s">
        <v>16</v>
      </c>
      <c r="B14" s="12">
        <f>VLOOKUP(A14, Dataset!$A$1:$Z$100, 8, FALSE)</f>
        <v>32.1</v>
      </c>
      <c r="C14" s="12">
        <f>VLOOKUP(A14, Dataset!$A$1:$Z$100, 14, FALSE)</f>
        <v>61.5</v>
      </c>
      <c r="D14" s="12">
        <f>VLOOKUP(A14, Dataset!$A$1:$Z$100, 18, FALSE)</f>
        <v>40.1</v>
      </c>
      <c r="E14" s="12">
        <f>VLOOKUP(A14, Dataset!$A$1:$Z$100, 20, FALSE)</f>
        <v>76.599999999999994</v>
      </c>
      <c r="F14" s="8">
        <f>VLOOKUP(A14, Dataset!$A$1:$Z$100, 22, FALSE)</f>
        <v>40.1</v>
      </c>
    </row>
    <row r="15" spans="1:7" ht="14.4">
      <c r="A15" s="7" t="s">
        <v>18</v>
      </c>
      <c r="B15" s="12">
        <f>VLOOKUP(A15, Dataset!$A$1:$Z$100, 8, FALSE)</f>
        <v>39.299999999999997</v>
      </c>
      <c r="C15" s="12">
        <f>VLOOKUP(A15, Dataset!$A$1:$Z$100, 14, FALSE)</f>
        <v>79.599999999999994</v>
      </c>
      <c r="D15" s="12">
        <f>VLOOKUP(A15, Dataset!$A$1:$Z$100, 18, FALSE)</f>
        <v>47.9</v>
      </c>
      <c r="E15" s="12">
        <f>VLOOKUP(A15, Dataset!$A$1:$Z$100, 20, FALSE)</f>
        <v>96.8</v>
      </c>
      <c r="F15" s="8">
        <f>VLOOKUP(A15, Dataset!$A$1:$Z$100, 22, FALSE)</f>
        <v>47.9</v>
      </c>
    </row>
    <row r="16" spans="1:7" ht="14.4">
      <c r="A16" s="7" t="s">
        <v>20</v>
      </c>
      <c r="B16" s="12">
        <f>VLOOKUP(A16, Dataset!$A$1:$Z$100, 8, FALSE)</f>
        <v>42.3</v>
      </c>
      <c r="C16" s="12">
        <f>VLOOKUP(A16, Dataset!$A$1:$Z$100, 14, FALSE)</f>
        <v>85.4</v>
      </c>
      <c r="D16" s="12">
        <f>VLOOKUP(A16, Dataset!$A$1:$Z$100, 18, FALSE)</f>
        <v>52.3</v>
      </c>
      <c r="E16" s="12">
        <f>VLOOKUP(A16, Dataset!$A$1:$Z$100, 20, FALSE)</f>
        <v>106.1</v>
      </c>
      <c r="F16" s="8">
        <f>VLOOKUP(A16, Dataset!$A$1:$Z$100, 22, FALSE)</f>
        <v>52.3</v>
      </c>
    </row>
    <row r="17" spans="1:6" ht="14.4">
      <c r="A17" s="7" t="s">
        <v>22</v>
      </c>
      <c r="B17" s="12">
        <f>VLOOKUP(A17, Dataset!$A$1:$Z$100, 8, FALSE)</f>
        <v>45.5</v>
      </c>
      <c r="C17" s="12">
        <f>VLOOKUP(A17, Dataset!$A$1:$Z$100, 14, FALSE)</f>
        <v>92.1</v>
      </c>
      <c r="D17" s="12">
        <f>VLOOKUP(A17, Dataset!$A$1:$Z$100, 18, FALSE)</f>
        <v>57</v>
      </c>
      <c r="E17" s="12">
        <f>VLOOKUP(A17, Dataset!$A$1:$Z$100, 20, FALSE)</f>
        <v>115.1</v>
      </c>
      <c r="F17" s="8">
        <f>VLOOKUP(A17, Dataset!$A$1:$Z$100, 22, FALSE)</f>
        <v>57</v>
      </c>
    </row>
    <row r="18" spans="1:6" ht="14.4">
      <c r="A18" s="7" t="s">
        <v>23</v>
      </c>
      <c r="B18" s="12">
        <f>VLOOKUP(A18, Dataset!$A$1:$Z$100, 8, FALSE)</f>
        <v>50.1</v>
      </c>
      <c r="C18" s="12">
        <f>VLOOKUP(A18, Dataset!$A$1:$Z$100, 14, FALSE)</f>
        <v>101.3</v>
      </c>
      <c r="D18" s="12">
        <f>VLOOKUP(A18, Dataset!$A$1:$Z$100, 18, FALSE)</f>
        <v>61.4</v>
      </c>
      <c r="E18" s="12">
        <f>VLOOKUP(A18, Dataset!$A$1:$Z$100, 20, FALSE)</f>
        <v>124.4</v>
      </c>
      <c r="F18" s="8">
        <f>VLOOKUP(A18, Dataset!$A$1:$Z$100, 22, FALSE)</f>
        <v>61.4</v>
      </c>
    </row>
    <row r="19" spans="1:6" ht="14.4">
      <c r="A19" s="7" t="s">
        <v>24</v>
      </c>
      <c r="B19" s="12">
        <f>VLOOKUP(A19, Dataset!$A$1:$Z$100, 8, FALSE)</f>
        <v>52.3</v>
      </c>
      <c r="C19" s="12">
        <f>VLOOKUP(A19, Dataset!$A$1:$Z$100, 14, FALSE)</f>
        <v>106.1</v>
      </c>
      <c r="D19" s="12">
        <f>VLOOKUP(A19, Dataset!$A$1:$Z$100, 18, FALSE)</f>
        <v>63.6</v>
      </c>
      <c r="E19" s="12">
        <f>VLOOKUP(A19, Dataset!$A$1:$Z$100, 20, FALSE)</f>
        <v>128.6</v>
      </c>
      <c r="F19" s="8">
        <f>VLOOKUP(A19, Dataset!$A$1:$Z$100, 22, FALSE)</f>
        <v>63.6</v>
      </c>
    </row>
    <row r="20" spans="1:6" ht="14.4">
      <c r="A20" s="7" t="s">
        <v>28</v>
      </c>
      <c r="B20" s="12">
        <f>VLOOKUP(A20, Dataset!$A$1:$Z$100, 8, FALSE)</f>
        <v>0</v>
      </c>
      <c r="C20" s="12">
        <f>VLOOKUP(A20, Dataset!$A$1:$Z$100, 14, FALSE)</f>
        <v>0</v>
      </c>
      <c r="D20" s="12">
        <f>VLOOKUP(A20, Dataset!$A$1:$Z$100, 18, FALSE)</f>
        <v>0</v>
      </c>
      <c r="E20" s="12">
        <f>VLOOKUP(A20, Dataset!$A$1:$Z$100, 20, FALSE)</f>
        <v>0</v>
      </c>
      <c r="F20" s="8">
        <f>VLOOKUP(A20, Dataset!$A$1:$Z$100, 22, FALSE)</f>
        <v>0</v>
      </c>
    </row>
    <row r="21" spans="1:6" ht="14.4">
      <c r="A21" s="7" t="s">
        <v>57</v>
      </c>
      <c r="B21" s="12">
        <f>VLOOKUP(A21, Dataset!$A$1:$Z$100, 8, FALSE)</f>
        <v>61.4</v>
      </c>
      <c r="C21" s="12">
        <f>VLOOKUP(A21, Dataset!$A$1:$Z$100, 14, FALSE)</f>
        <v>124.4</v>
      </c>
      <c r="D21" s="12">
        <f>VLOOKUP(A21, Dataset!$A$1:$Z$100, 18, FALSE)</f>
        <v>75</v>
      </c>
      <c r="E21" s="12">
        <f>VLOOKUP(A21, Dataset!$A$1:$Z$100, 20, FALSE)</f>
        <v>151.5</v>
      </c>
      <c r="F21" s="8">
        <f>VLOOKUP(A21, Dataset!$A$1:$Z$100, 22, FALSE)</f>
        <v>75</v>
      </c>
    </row>
    <row r="22" spans="1:6" ht="14.4">
      <c r="A22" s="7" t="s">
        <v>58</v>
      </c>
      <c r="B22" s="12">
        <f>VLOOKUP(A22, Dataset!$A$1:$Z$100, 8, FALSE)</f>
        <v>-1</v>
      </c>
      <c r="C22" s="12">
        <f>VLOOKUP(A22, Dataset!$A$1:$Z$100, 14, FALSE)</f>
        <v>-1</v>
      </c>
      <c r="D22" s="12">
        <f>VLOOKUP(A22, Dataset!$A$1:$Z$100, 18, FALSE)</f>
        <v>-1</v>
      </c>
      <c r="E22" s="12">
        <f>VLOOKUP(A22, Dataset!$A$1:$Z$100, 20, FALSE)</f>
        <v>-1</v>
      </c>
      <c r="F22" s="8">
        <f>VLOOKUP(A22, Dataset!$A$1:$Z$100, 22, FALSE)</f>
        <v>-1</v>
      </c>
    </row>
    <row r="23" spans="1:6" ht="14.4">
      <c r="A23" s="7" t="s">
        <v>31</v>
      </c>
      <c r="B23" s="12">
        <f>VLOOKUP(A23, Dataset!$A$1:$Z$100, 8, FALSE)</f>
        <v>65.900000000000006</v>
      </c>
      <c r="C23" s="12">
        <f>VLOOKUP(A23, Dataset!$A$1:$Z$100, 14, FALSE)</f>
        <v>133.4</v>
      </c>
      <c r="D23" s="12">
        <f>VLOOKUP(A23, Dataset!$A$1:$Z$100, 18, FALSE)</f>
        <v>79.400000000000006</v>
      </c>
      <c r="E23" s="12">
        <f>VLOOKUP(A23, Dataset!$A$1:$Z$100, 20, FALSE)</f>
        <v>160.9</v>
      </c>
      <c r="F23" s="8">
        <f>VLOOKUP(A23, Dataset!$A$1:$Z$100, 22, FALSE)</f>
        <v>79.400000000000006</v>
      </c>
    </row>
    <row r="24" spans="1:6" ht="14.4">
      <c r="A24" s="7" t="s">
        <v>32</v>
      </c>
      <c r="B24" s="12">
        <f>VLOOKUP(A24, Dataset!$A$1:$Z$100, 8, FALSE)</f>
        <v>-1</v>
      </c>
      <c r="C24" s="12">
        <f>VLOOKUP(A24, Dataset!$A$1:$Z$100, 14, FALSE)</f>
        <v>-1</v>
      </c>
      <c r="D24" s="12">
        <f>VLOOKUP(A24, Dataset!$A$1:$Z$100, 18, FALSE)</f>
        <v>-1</v>
      </c>
      <c r="E24" s="12">
        <f>VLOOKUP(A24, Dataset!$A$1:$Z$100, 20, FALSE)</f>
        <v>-1</v>
      </c>
      <c r="F24" s="8">
        <f>VLOOKUP(A24, Dataset!$A$1:$Z$100, 22, FALSE)</f>
        <v>-1</v>
      </c>
    </row>
    <row r="25" spans="1:6" ht="14.4">
      <c r="A25" s="7" t="s">
        <v>34</v>
      </c>
      <c r="B25" s="12">
        <f>VLOOKUP(A25, Dataset!$A$1:$Z$100, 8, FALSE)</f>
        <v>63.6</v>
      </c>
      <c r="C25" s="12">
        <f>VLOOKUP(A25, Dataset!$A$1:$Z$100, 14, FALSE)</f>
        <v>128.6</v>
      </c>
      <c r="D25" s="12">
        <f>VLOOKUP(A25, Dataset!$A$1:$Z$100, 18, FALSE)</f>
        <v>79.400000000000006</v>
      </c>
      <c r="E25" s="12">
        <f>VLOOKUP(A25, Dataset!$A$1:$Z$100, 20, FALSE)</f>
        <v>160.9</v>
      </c>
      <c r="F25" s="8">
        <f>VLOOKUP(A25, Dataset!$A$1:$Z$100, 22, FALSE)</f>
        <v>79.400000000000006</v>
      </c>
    </row>
    <row r="26" spans="1:6" ht="14.4">
      <c r="A26" s="7" t="s">
        <v>37</v>
      </c>
      <c r="B26" s="12">
        <f>VLOOKUP(A26, Dataset!$A$1:$Z$100, 8, FALSE)</f>
        <v>72.8</v>
      </c>
      <c r="C26" s="12">
        <f>VLOOKUP(A26, Dataset!$A$1:$Z$100, 14, FALSE)</f>
        <v>146.80000000000001</v>
      </c>
      <c r="D26" s="12">
        <f>VLOOKUP(A26, Dataset!$A$1:$Z$100, 18, FALSE)</f>
        <v>90.9</v>
      </c>
      <c r="E26" s="12">
        <f>VLOOKUP(A26, Dataset!$A$1:$Z$100, 20, FALSE)</f>
        <v>183.5</v>
      </c>
      <c r="F26" s="8">
        <f>VLOOKUP(A26, Dataset!$A$1:$Z$100, 22, FALSE)</f>
        <v>90.9</v>
      </c>
    </row>
    <row r="27" spans="1:6" ht="14.4">
      <c r="A27" s="7" t="s">
        <v>39</v>
      </c>
      <c r="B27" s="12">
        <f>VLOOKUP(A27, Dataset!$A$1:$Z$100, 8, FALSE)</f>
        <v>77.2</v>
      </c>
      <c r="C27" s="12">
        <f>VLOOKUP(A27, Dataset!$A$1:$Z$100, 14, FALSE)</f>
        <v>156.4</v>
      </c>
      <c r="D27" s="12">
        <f>VLOOKUP(A27, Dataset!$A$1:$Z$100, 18, FALSE)</f>
        <v>93.1</v>
      </c>
      <c r="E27" s="12">
        <f>VLOOKUP(A27, Dataset!$A$1:$Z$100, 20, FALSE)</f>
        <v>188.1</v>
      </c>
      <c r="F27" s="8">
        <f>VLOOKUP(A27, Dataset!$A$1:$Z$100, 22, FALSE)</f>
        <v>93.1</v>
      </c>
    </row>
    <row r="28" spans="1:6" ht="14.4">
      <c r="A28" s="19" t="s">
        <v>82</v>
      </c>
      <c r="B28" s="31">
        <f ca="1">MIN(B6:B27)</f>
        <v>-1</v>
      </c>
      <c r="C28" s="31">
        <f>D28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>
      <c r="A29" s="19" t="s">
        <v>83</v>
      </c>
      <c r="B29">
        <f ca="1">MAX(B6:B27)</f>
        <v>77.2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>
      <c r="A30" s="19" t="s">
        <v>84</v>
      </c>
      <c r="B30" s="31">
        <f ca="1">AVERAGE(B6:B27)</f>
        <v>29.857142857142858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5" zoomScaleNormal="100" workbookViewId="0">
      <selection activeCell="H19" sqref="H19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41" customFormat="1" ht="21">
      <c r="A1" s="42" t="s">
        <v>56</v>
      </c>
      <c r="B1" s="41" t="s">
        <v>174</v>
      </c>
    </row>
    <row r="2" spans="1:10" customFormat="1" ht="13.2"/>
    <row r="3" spans="1:10" s="2" customFormat="1">
      <c r="B3" s="1"/>
    </row>
    <row r="4" spans="1:10" s="2" customFormat="1">
      <c r="B4" s="1" t="s">
        <v>151</v>
      </c>
    </row>
    <row r="5" spans="1:10" ht="18">
      <c r="A5" s="43" t="s">
        <v>53</v>
      </c>
      <c r="B5" s="40"/>
    </row>
    <row r="6" spans="1:10" ht="18">
      <c r="A6" s="43" t="s">
        <v>153</v>
      </c>
      <c r="B6" s="40"/>
    </row>
    <row r="7" spans="1:10" ht="18">
      <c r="A7" s="43"/>
      <c r="B7" s="40"/>
    </row>
    <row r="9" spans="1:10" ht="23.4">
      <c r="A9" s="18" t="s">
        <v>165</v>
      </c>
      <c r="I9" s="2"/>
      <c r="J9" s="2"/>
    </row>
    <row r="10" spans="1:10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>
      <c r="A14" s="18" t="s">
        <v>162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1" sqref="B1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2" t="s">
        <v>85</v>
      </c>
      <c r="B1" s="41" t="s">
        <v>167</v>
      </c>
    </row>
    <row r="2" spans="1:3" ht="18">
      <c r="B2" s="40" t="s">
        <v>166</v>
      </c>
    </row>
    <row r="5" spans="1:3" ht="14.4">
      <c r="B5" s="1" t="s">
        <v>151</v>
      </c>
    </row>
    <row r="6" spans="1:3" ht="14.4">
      <c r="A6" s="3" t="s">
        <v>53</v>
      </c>
      <c r="B6" s="1"/>
    </row>
    <row r="7" spans="1:3" ht="14.4">
      <c r="A7" s="3" t="s">
        <v>186</v>
      </c>
      <c r="B7" s="49"/>
    </row>
    <row r="10" spans="1:3" ht="23.4">
      <c r="A10" s="18" t="s">
        <v>162</v>
      </c>
    </row>
    <row r="11" spans="1:3" ht="14.4">
      <c r="A11" s="32" t="s">
        <v>86</v>
      </c>
      <c r="B11" s="17" t="s">
        <v>87</v>
      </c>
      <c r="C11" s="17" t="s">
        <v>88</v>
      </c>
    </row>
    <row r="12" spans="1:3" ht="14.4">
      <c r="A12" s="32">
        <v>44927</v>
      </c>
      <c r="B12" s="17" t="s">
        <v>59</v>
      </c>
      <c r="C12" s="17">
        <v>200</v>
      </c>
    </row>
    <row r="13" spans="1:3" ht="14.4">
      <c r="A13" s="32">
        <v>44928</v>
      </c>
      <c r="B13" s="17" t="s">
        <v>60</v>
      </c>
      <c r="C13" s="17">
        <f>SUM(IFERROR(Sales, 20))</f>
        <v>20</v>
      </c>
    </row>
    <row r="14" spans="1:3" ht="14.4">
      <c r="A14" s="32">
        <v>44929</v>
      </c>
      <c r="B14" s="17" t="s">
        <v>61</v>
      </c>
      <c r="C14" s="17">
        <v>50</v>
      </c>
    </row>
    <row r="15" spans="1:3" ht="14.4">
      <c r="A15" s="32">
        <v>44930</v>
      </c>
      <c r="B15" s="17" t="s">
        <v>62</v>
      </c>
      <c r="C15" s="17">
        <f>SUM(IFERROR(Sales, 20))</f>
        <v>20</v>
      </c>
    </row>
    <row r="16" spans="1:3" ht="14.4">
      <c r="A16" s="32">
        <v>44931</v>
      </c>
      <c r="B16" s="17" t="s">
        <v>63</v>
      </c>
      <c r="C16" s="17">
        <v>10</v>
      </c>
    </row>
    <row r="17" spans="1:3" ht="14.4">
      <c r="A17" s="32">
        <v>44932</v>
      </c>
      <c r="B17" s="17" t="s">
        <v>154</v>
      </c>
      <c r="C17" s="17">
        <v>150</v>
      </c>
    </row>
    <row r="18" spans="1:3" ht="14.4">
      <c r="A18" s="32">
        <v>44933</v>
      </c>
      <c r="B18" s="17" t="s">
        <v>155</v>
      </c>
      <c r="C18" s="17">
        <v>80</v>
      </c>
    </row>
    <row r="19" spans="1:3" ht="14.4">
      <c r="A19" s="32">
        <v>44934</v>
      </c>
      <c r="B19" s="17" t="s">
        <v>156</v>
      </c>
      <c r="C19" s="17">
        <f>SUM(IFERROR(Sales, 20))</f>
        <v>20</v>
      </c>
    </row>
    <row r="20" spans="1:3" ht="14.4">
      <c r="A20" s="32">
        <v>44935</v>
      </c>
      <c r="B20" s="17" t="s">
        <v>157</v>
      </c>
      <c r="C20" s="17">
        <v>30</v>
      </c>
    </row>
    <row r="21" spans="1:3" ht="14.4">
      <c r="A21" s="32">
        <v>44936</v>
      </c>
      <c r="B21" s="17" t="s">
        <v>158</v>
      </c>
      <c r="C21" s="17">
        <f>SUM(IFERROR(Sales, 20))</f>
        <v>20</v>
      </c>
    </row>
    <row r="22" spans="1:3" ht="14.4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66" zoomScaleNormal="70" workbookViewId="0">
      <selection activeCell="C36" sqref="C36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2" t="s">
        <v>98</v>
      </c>
      <c r="B1" s="41" t="s">
        <v>175</v>
      </c>
    </row>
    <row r="3" spans="1:14" ht="14.4">
      <c r="B3" s="1" t="s">
        <v>151</v>
      </c>
    </row>
    <row r="4" spans="1:14" ht="18">
      <c r="A4" s="43" t="s">
        <v>53</v>
      </c>
      <c r="B4" s="1"/>
    </row>
    <row r="5" spans="1:14" ht="18">
      <c r="A5" s="43" t="s">
        <v>153</v>
      </c>
      <c r="B5" s="1"/>
    </row>
    <row r="6" spans="1:14" ht="14.4">
      <c r="A6" s="3"/>
      <c r="B6" s="1"/>
    </row>
    <row r="8" spans="1:14" ht="23.4">
      <c r="A8" s="18" t="s">
        <v>162</v>
      </c>
      <c r="M8" s="18" t="s">
        <v>163</v>
      </c>
    </row>
    <row r="9" spans="1:14" ht="14.4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>
      <c r="A21" s="18" t="s">
        <v>168</v>
      </c>
    </row>
    <row r="22" spans="1:14" ht="14.4">
      <c r="A22" s="14" t="s">
        <v>100</v>
      </c>
      <c r="B22" s="17" t="s">
        <v>101</v>
      </c>
      <c r="C22" s="16" t="s">
        <v>102</v>
      </c>
    </row>
    <row r="23" spans="1:14" ht="14.4">
      <c r="A23" s="7">
        <v>10100</v>
      </c>
      <c r="B23" s="12">
        <v>10102</v>
      </c>
      <c r="C23" s="44">
        <v>95</v>
      </c>
    </row>
    <row r="24" spans="1:14" ht="14.4">
      <c r="A24" s="7">
        <v>10100</v>
      </c>
      <c r="B24" s="12">
        <v>10104</v>
      </c>
      <c r="C24" s="44">
        <v>-1</v>
      </c>
    </row>
    <row r="25" spans="1:14" ht="14.4">
      <c r="A25" s="7">
        <v>10108</v>
      </c>
      <c r="B25" s="12">
        <v>10102</v>
      </c>
      <c r="C25" s="44">
        <v>355</v>
      </c>
    </row>
    <row r="26" spans="1:14" ht="14.4">
      <c r="A26" s="7">
        <v>10100</v>
      </c>
      <c r="B26" s="12">
        <v>10106</v>
      </c>
      <c r="C26" s="44">
        <v>165</v>
      </c>
    </row>
    <row r="27" spans="1:14" ht="14.4">
      <c r="A27" s="7">
        <v>10108</v>
      </c>
      <c r="B27" s="12">
        <v>10110</v>
      </c>
      <c r="C27" s="44">
        <v>180</v>
      </c>
    </row>
    <row r="28" spans="1:14" ht="14.4">
      <c r="A28" s="7">
        <v>10102</v>
      </c>
      <c r="B28" s="12">
        <v>10104</v>
      </c>
      <c r="C28" s="44">
        <v>210</v>
      </c>
    </row>
    <row r="29" spans="1:14" ht="14.4">
      <c r="A29" s="7">
        <v>10106</v>
      </c>
      <c r="B29" s="12">
        <v>10108</v>
      </c>
      <c r="C29" s="44">
        <v>220</v>
      </c>
    </row>
    <row r="30" spans="1:14" ht="14.4">
      <c r="A30" s="7">
        <v>10102</v>
      </c>
      <c r="B30" s="12">
        <v>10106</v>
      </c>
      <c r="C30" s="44">
        <v>105</v>
      </c>
    </row>
    <row r="31" spans="1:14" ht="14.4">
      <c r="A31" s="7">
        <v>10110</v>
      </c>
      <c r="B31" s="12">
        <v>10114</v>
      </c>
      <c r="C31" s="44">
        <v>105</v>
      </c>
    </row>
    <row r="32" spans="1:14" ht="14.4">
      <c r="A32" s="7">
        <v>10104</v>
      </c>
      <c r="B32" s="12">
        <v>10106</v>
      </c>
      <c r="C32" s="44">
        <v>180</v>
      </c>
    </row>
    <row r="33" spans="1:3" ht="14.4">
      <c r="A33" s="7">
        <v>10110</v>
      </c>
      <c r="B33" s="12">
        <v>10112</v>
      </c>
      <c r="C33" s="44">
        <v>65</v>
      </c>
    </row>
    <row r="34" spans="1:3" ht="14.4">
      <c r="A34" s="7">
        <v>10100</v>
      </c>
      <c r="B34" s="12">
        <v>10114</v>
      </c>
      <c r="C34" s="44">
        <v>415</v>
      </c>
    </row>
    <row r="35" spans="1:3" ht="14.4">
      <c r="A35" s="9">
        <v>10112</v>
      </c>
      <c r="B35" s="13">
        <v>10116</v>
      </c>
      <c r="C35" s="45">
        <v>220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Bharath Reddy</cp:lastModifiedBy>
  <dcterms:created xsi:type="dcterms:W3CDTF">2015-02-10T17:33:11Z</dcterms:created>
  <dcterms:modified xsi:type="dcterms:W3CDTF">2024-10-23T08:31:10Z</dcterms:modified>
</cp:coreProperties>
</file>