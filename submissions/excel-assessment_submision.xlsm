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DATA SCIENCE\my data resume\"/>
    </mc:Choice>
  </mc:AlternateContent>
  <xr:revisionPtr revIDLastSave="0" documentId="13_ncr:1_{0EFF2A21-4ED9-4694-A691-D880C1877078}" xr6:coauthVersionLast="36" xr6:coauthVersionMax="47" xr10:uidLastSave="{00000000-0000-0000-0000-000000000000}"/>
  <bookViews>
    <workbookView xWindow="0" yWindow="0" windowWidth="3444" windowHeight="267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  <c r="H41" i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35" i="20"/>
  <c r="C34" i="20"/>
  <c r="C24" i="20"/>
  <c r="C25" i="20"/>
  <c r="C26" i="20"/>
  <c r="C27" i="20"/>
  <c r="C28" i="20"/>
  <c r="C29" i="20"/>
  <c r="C30" i="20"/>
  <c r="C31" i="20"/>
  <c r="C32" i="20"/>
  <c r="C33" i="20"/>
  <c r="C23" i="20"/>
  <c r="D13" i="19"/>
  <c r="D22" i="19" s="1"/>
  <c r="D14" i="19"/>
  <c r="D15" i="19"/>
  <c r="D16" i="19"/>
  <c r="D17" i="19"/>
  <c r="D18" i="19"/>
  <c r="D19" i="19"/>
  <c r="D20" i="19"/>
  <c r="D21" i="19"/>
  <c r="D12" i="19"/>
</calcChain>
</file>

<file path=xl/sharedStrings.xml><?xml version="1.0" encoding="utf-8"?>
<sst xmlns="http://schemas.openxmlformats.org/spreadsheetml/2006/main" count="410" uniqueCount="187">
  <si>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</si>
  <si>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</si>
  <si>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</si>
  <si>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</si>
  <si>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</si>
  <si>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</si>
  <si>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</si>
  <si>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</si>
  <si>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</si>
  <si>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</si>
  <si>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</si>
  <si>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</si>
  <si>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</si>
  <si>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</si>
  <si>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</si>
  <si>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</si>
  <si>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</si>
  <si>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</si>
  <si>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</si>
  <si>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</si>
  <si>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</si>
  <si>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</si>
  <si>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</si>
  <si>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</si>
  <si>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</si>
  <si>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</si>
  <si>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</si>
  <si>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</si>
  <si>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</si>
  <si>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</si>
  <si>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</si>
  <si>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</si>
  <si>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</si>
  <si>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</si>
  <si>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</si>
  <si>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</si>
  <si>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</si>
  <si>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</si>
  <si>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</si>
  <si>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</si>
  <si>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</si>
  <si>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</si>
  <si>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</si>
  <si>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</si>
  <si>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</si>
  <si>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</si>
  <si>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</si>
  <si>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</si>
  <si>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</si>
  <si>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</si>
  <si>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</si>
  <si>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</si>
  <si>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</si>
  <si>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</si>
  <si>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</si>
  <si>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</si>
  <si>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</si>
  <si>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</si>
  <si>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</si>
  <si>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</si>
  <si>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</si>
  <si>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</si>
  <si>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</si>
  <si>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</si>
  <si>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</si>
  <si>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</si>
  <si>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</si>
  <si>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</si>
  <si>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</si>
  <si>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</si>
  <si>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</si>
  <si>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</si>
  <si>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</si>
  <si>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</si>
  <si>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</si>
  <si>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</si>
  <si>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</si>
  <si>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</si>
  <si>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</si>
  <si>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</si>
  <si>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</si>
  <si>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</si>
  <si>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</si>
  <si>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</si>
  <si>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</si>
  <si>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</si>
  <si>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</si>
  <si>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</si>
  <si>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</si>
  <si>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</si>
  <si>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</si>
  <si>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</si>
  <si>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</si>
  <si>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</si>
  <si>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</si>
  <si>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</si>
  <si>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</si>
  <si>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</si>
  <si>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</si>
  <si>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</si>
  <si>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</si>
  <si>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</si>
  <si>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</si>
  <si>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</si>
  <si>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</si>
  <si>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</si>
  <si>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</si>
  <si>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</si>
  <si>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</si>
  <si>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</si>
  <si>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</si>
  <si>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</si>
  <si>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</si>
  <si>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</si>
  <si>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</si>
  <si>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</si>
  <si>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</si>
  <si>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</si>
  <si>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</si>
  <si>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</si>
  <si>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</si>
  <si>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</si>
  <si>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</si>
  <si>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</si>
  <si>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</si>
  <si>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</si>
  <si>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</si>
  <si>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</si>
  <si>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</si>
  <si>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</si>
  <si>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</si>
  <si>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</si>
  <si>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</si>
  <si>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</si>
  <si>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</si>
  <si>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</si>
  <si>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</si>
  <si>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</si>
  <si>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</si>
  <si>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</si>
  <si>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</si>
  <si>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</si>
  <si>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</si>
  <si>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</si>
  <si>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</si>
  <si>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</si>
  <si>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</si>
  <si>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</si>
  <si>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</si>
  <si>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</si>
  <si>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</si>
  <si>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</si>
  <si>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</si>
  <si>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</si>
  <si>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</si>
  <si>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</si>
  <si>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</si>
  <si>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</si>
  <si>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</si>
  <si>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</si>
  <si>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</si>
  <si>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</si>
  <si>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</si>
  <si>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</si>
  <si>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</si>
  <si>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</si>
  <si>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</si>
  <si>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</si>
  <si>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</si>
  <si>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</si>
  <si>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</si>
  <si>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</si>
  <si>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</si>
  <si>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</si>
  <si>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</si>
  <si>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</si>
  <si>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</si>
  <si>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</si>
  <si>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formated date</t>
  </si>
  <si>
    <t>TEXT(X2, "YYYY-MM-DD")</t>
  </si>
  <si>
    <t>SUMIF(H2:H40, "&gt;20")</t>
  </si>
  <si>
    <t xml:space="preserve">Text to column </t>
  </si>
  <si>
    <t>I used text to column function seprate the text  "-" deliminator</t>
  </si>
  <si>
    <t xml:space="preserve">If error and sum </t>
  </si>
  <si>
    <t>I used if error function to handle error and replaced it by 20 and used sum function to get sum of all the value</t>
  </si>
  <si>
    <t>INDEX, MATCH, VLOOKUP</t>
  </si>
  <si>
    <t>VLOOKUP(A23, $M$10:$N$18, 2, FALSE , This looks up the value in A23 ==&gt; (VLOOKUP(A23, $M$10:$N$18, 2, FALSE), $A$10:$A$18, 0 =====&gt; This matches the letter (e.g., "A") in the row labels of Table_A (A10:A18) and returns the row number where it is found.===&gt;  VLOOKUP(B23, $M$10:$N$18, 2, FALSE ====&gt; This looks up the value in B23 ====&gt;MATCH(VLOOKUP(B23, $M$10:$N$18, 2, FALSE), $B$9:$I$9, 0)====&gt; This matches the letter (e.g., "B") in the column labels of Table_A (B9:I9) and returns the column number where it is found====&gt; Using the row and column numbers found from the MATCH functions, INDEX retrieves the value at the intersection of the appropriate row and column in Table_A.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</si>
</sst>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theme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C21" sqref="C21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1"/>
  <sheetViews>
    <sheetView topLeftCell="B1" zoomScaleNormal="100" workbookViewId="0">
      <pane ySplit="1" topLeftCell="A11" activePane="bottomLeft" state="frozen"/>
      <selection pane="bottomLeft" activeCell="I19" sqref="I1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25" width="13.21875" style="45" bestFit="1" customWidth="1"/>
    <col min="26" max="16384" width="9" style="1"/>
  </cols>
  <sheetData>
    <row r="1" spans="1:25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  <c r="Y1" s="44" t="s">
        <v>178</v>
      </c>
    </row>
    <row r="2" spans="1:25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45" t="str">
        <f>TEXT(X2, "YYYY-MM-DD")</f>
        <v>2023-05-05</v>
      </c>
    </row>
    <row r="3" spans="1:25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45" t="str">
        <f t="shared" ref="Y3:Y41" si="0">TEXT(X3, "YYYY-MM-DD")</f>
        <v>2023-05-02</v>
      </c>
    </row>
    <row r="4" spans="1:25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45" t="str">
        <f t="shared" si="0"/>
        <v>2023-05-09</v>
      </c>
    </row>
    <row r="5" spans="1:25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45" t="str">
        <f t="shared" si="0"/>
        <v>2023-05-13</v>
      </c>
    </row>
    <row r="6" spans="1:25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45" t="str">
        <f t="shared" si="0"/>
        <v>2023-05-30</v>
      </c>
    </row>
    <row r="7" spans="1:25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45" t="str">
        <f t="shared" si="0"/>
        <v>2023-05-11</v>
      </c>
    </row>
    <row r="8" spans="1:25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45" t="str">
        <f t="shared" si="0"/>
        <v>2023-05-06</v>
      </c>
    </row>
    <row r="9" spans="1:25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45" t="str">
        <f t="shared" si="0"/>
        <v>2023-06-21</v>
      </c>
    </row>
    <row r="10" spans="1:25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45" t="str">
        <f t="shared" si="0"/>
        <v>2023-06-15</v>
      </c>
    </row>
    <row r="11" spans="1:25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45" t="str">
        <f t="shared" si="0"/>
        <v>2023-06-27</v>
      </c>
    </row>
    <row r="12" spans="1:25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45" t="str">
        <f t="shared" si="0"/>
        <v>2023-07-09</v>
      </c>
    </row>
    <row r="13" spans="1:25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45" t="str">
        <f t="shared" si="0"/>
        <v>2023-07-03</v>
      </c>
    </row>
    <row r="14" spans="1:25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45" t="str">
        <f t="shared" si="0"/>
        <v>2023-06-18</v>
      </c>
    </row>
    <row r="15" spans="1:25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45" t="str">
        <f t="shared" si="0"/>
        <v>2023-07-06</v>
      </c>
    </row>
    <row r="16" spans="1:25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45" t="str">
        <f t="shared" si="0"/>
        <v>2023-05-17</v>
      </c>
    </row>
    <row r="17" spans="1:25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45" t="str">
        <f t="shared" si="0"/>
        <v>2023-05-25</v>
      </c>
    </row>
    <row r="18" spans="1:25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45" t="str">
        <f t="shared" si="0"/>
        <v>2023-06-08</v>
      </c>
    </row>
    <row r="19" spans="1:25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45" t="str">
        <f t="shared" si="0"/>
        <v>2023-06-22</v>
      </c>
    </row>
    <row r="20" spans="1:25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45" t="str">
        <f t="shared" si="0"/>
        <v>2023-06-14</v>
      </c>
    </row>
    <row r="21" spans="1:25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45" t="str">
        <f t="shared" si="0"/>
        <v>2023-06-02</v>
      </c>
    </row>
    <row r="22" spans="1:25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45" t="str">
        <f t="shared" si="0"/>
        <v>2023-05-29</v>
      </c>
    </row>
    <row r="23" spans="1:25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45" t="str">
        <f t="shared" si="0"/>
        <v>2023-07-03</v>
      </c>
    </row>
    <row r="24" spans="1:25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45" t="str">
        <f t="shared" si="0"/>
        <v>2023-07-07</v>
      </c>
    </row>
    <row r="25" spans="1:25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45" t="str">
        <f t="shared" si="0"/>
        <v>2023-07-11</v>
      </c>
    </row>
    <row r="26" spans="1:25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45" t="str">
        <f t="shared" si="0"/>
        <v>2023-08-04</v>
      </c>
    </row>
    <row r="27" spans="1:25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45" t="str">
        <f t="shared" si="0"/>
        <v>2023-08-08</v>
      </c>
    </row>
    <row r="28" spans="1:25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45" t="str">
        <f t="shared" si="0"/>
        <v>2023-07-01</v>
      </c>
    </row>
    <row r="29" spans="1:25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45" t="str">
        <f t="shared" si="0"/>
        <v>2023-08-15</v>
      </c>
    </row>
    <row r="30" spans="1:25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45" t="str">
        <f t="shared" si="0"/>
        <v>2023-08-12</v>
      </c>
    </row>
    <row r="31" spans="1:25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45" t="str">
        <f t="shared" si="0"/>
        <v>2023-08-19</v>
      </c>
    </row>
    <row r="32" spans="1:25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45" t="str">
        <f t="shared" si="0"/>
        <v>2023-08-05</v>
      </c>
    </row>
    <row r="33" spans="1:25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45" t="str">
        <f t="shared" si="0"/>
        <v>2023-08-28</v>
      </c>
    </row>
    <row r="34" spans="1:25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45" t="str">
        <f t="shared" si="0"/>
        <v>2023-08-24</v>
      </c>
    </row>
    <row r="35" spans="1:25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45" t="str">
        <f t="shared" si="0"/>
        <v>2023-08-22</v>
      </c>
    </row>
    <row r="36" spans="1:25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45" t="str">
        <f t="shared" si="0"/>
        <v>2023-09-10</v>
      </c>
    </row>
    <row r="37" spans="1:25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45" t="str">
        <f t="shared" si="0"/>
        <v>2023-08-19</v>
      </c>
    </row>
    <row r="38" spans="1:25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45" t="str">
        <f t="shared" si="0"/>
        <v>2023-08-05</v>
      </c>
    </row>
    <row r="39" spans="1:25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45" t="str">
        <f t="shared" si="0"/>
        <v>2023-08-28</v>
      </c>
    </row>
    <row r="40" spans="1:25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45" t="str">
        <f t="shared" si="0"/>
        <v>2023-08-24</v>
      </c>
    </row>
    <row r="41" spans="1:25" x14ac:dyDescent="0.3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G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8" sqref="C18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22" style="1" bestFit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D5" s="1" t="s">
        <v>180</v>
      </c>
      <c r="E5" s="1">
        <v>10</v>
      </c>
    </row>
    <row r="6" spans="1:5" x14ac:dyDescent="0.3">
      <c r="A6" s="6">
        <v>4</v>
      </c>
      <c r="B6" s="2" t="s">
        <v>107</v>
      </c>
      <c r="C6" s="2"/>
      <c r="D6" s="1" t="s">
        <v>179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O30"/>
  <sheetViews>
    <sheetView topLeftCell="A19" zoomScale="85" zoomScaleNormal="100" workbookViewId="0">
      <selection activeCell="L16" sqref="L1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15" s="41" customFormat="1" ht="21" x14ac:dyDescent="0.4">
      <c r="A1" s="42" t="s">
        <v>55</v>
      </c>
      <c r="B1" s="41" t="s">
        <v>164</v>
      </c>
    </row>
    <row r="2" spans="1:15" s="41" customFormat="1" ht="21" x14ac:dyDescent="0.4">
      <c r="B2" s="41" t="s">
        <v>161</v>
      </c>
    </row>
    <row r="3" spans="1:15" ht="21" x14ac:dyDescent="0.4">
      <c r="A3" s="1"/>
      <c r="B3" s="1"/>
      <c r="C3" s="1"/>
      <c r="D3" s="1"/>
      <c r="E3" s="1"/>
      <c r="F3" s="1"/>
      <c r="G3" s="1"/>
      <c r="O3" s="41"/>
    </row>
    <row r="4" spans="1:15" ht="23.4" x14ac:dyDescent="0.45">
      <c r="A4" s="18" t="s">
        <v>162</v>
      </c>
      <c r="B4" s="1"/>
      <c r="C4" s="1"/>
      <c r="D4" s="1"/>
      <c r="E4" s="1"/>
      <c r="F4" s="1"/>
      <c r="G4" s="1"/>
      <c r="O4" s="41"/>
    </row>
    <row r="5" spans="1:15" ht="21" x14ac:dyDescent="0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  <c r="O5" s="41"/>
    </row>
    <row r="6" spans="1:15" ht="21" x14ac:dyDescent="0.4">
      <c r="A6" s="7" t="s">
        <v>40</v>
      </c>
      <c r="B6" s="12">
        <f>VLOOKUP(A6,Dataset!$A$2:$G$40,7,FALSE)</f>
        <v>2.7</v>
      </c>
      <c r="C6" s="12">
        <f>VLOOKUP(A6,Dataset!$A$1:$N$40,14,FALSE)</f>
        <v>7.6</v>
      </c>
      <c r="D6" s="12">
        <f>VLOOKUP(A6,Dataset!$A$1:$R$40,18,FALSE)</f>
        <v>4.2</v>
      </c>
      <c r="E6" s="12">
        <f>VLOOKUP(A6,Dataset!$A$1:$T$40,20,FALSE)</f>
        <v>8.9</v>
      </c>
      <c r="F6" s="8">
        <f>VLOOKUP(A6,Dataset!$A$1:$V$40,22,FALSE)</f>
        <v>4.2</v>
      </c>
      <c r="O6" s="41"/>
    </row>
    <row r="7" spans="1:15" ht="21" x14ac:dyDescent="0.4">
      <c r="A7" s="7" t="s">
        <v>4</v>
      </c>
      <c r="B7" s="12">
        <f>VLOOKUP(A7,Dataset!$A$2:$G$40,7,FALSE)</f>
        <v>2.7</v>
      </c>
      <c r="C7" s="12">
        <f>VLOOKUP(A7,Dataset!$A$1:$N$40,14,FALSE)</f>
        <v>7.6</v>
      </c>
      <c r="D7" s="12">
        <f>VLOOKUP(A7,Dataset!$A$1:$R$40,18,FALSE)</f>
        <v>4.2</v>
      </c>
      <c r="E7" s="12">
        <f>VLOOKUP(A7,Dataset!$A$1:$T$40,20,FALSE)</f>
        <v>8.9</v>
      </c>
      <c r="F7" s="8">
        <f>VLOOKUP(A7,Dataset!$A$1:$V$40,22,FALSE)</f>
        <v>4.2</v>
      </c>
      <c r="O7" s="41"/>
    </row>
    <row r="8" spans="1:15" ht="21" x14ac:dyDescent="0.4">
      <c r="A8" s="7" t="s">
        <v>7</v>
      </c>
      <c r="B8" s="12">
        <f>VLOOKUP(A8,Dataset!$A$2:$G$40,7,FALSE)</f>
        <v>3.6</v>
      </c>
      <c r="C8" s="12">
        <f>VLOOKUP(A8,Dataset!$A$1:$N$40,14,FALSE)</f>
        <v>11.1</v>
      </c>
      <c r="D8" s="12">
        <f>VLOOKUP(A8,Dataset!$A$1:$R$40,18,FALSE)</f>
        <v>5.8</v>
      </c>
      <c r="E8" s="12">
        <f>VLOOKUP(A8,Dataset!$A$1:$T$40,20,FALSE)</f>
        <v>12.2</v>
      </c>
      <c r="F8" s="8">
        <f>VLOOKUP(A8,Dataset!$A$1:$V$40,22,FALSE)</f>
        <v>5.8</v>
      </c>
      <c r="O8" s="41"/>
    </row>
    <row r="9" spans="1:15" ht="21" x14ac:dyDescent="0.4">
      <c r="A9" s="7" t="s">
        <v>8</v>
      </c>
      <c r="B9" s="12">
        <f>VLOOKUP(A9,Dataset!$A$2:$G$40,7,FALSE)</f>
        <v>4.9000000000000004</v>
      </c>
      <c r="C9" s="12">
        <f>VLOOKUP(A9,Dataset!$A$1:$N$40,14,FALSE)</f>
        <v>13.3</v>
      </c>
      <c r="D9" s="12">
        <f>VLOOKUP(A9,Dataset!$A$1:$R$40,18,FALSE)</f>
        <v>8.1</v>
      </c>
      <c r="E9" s="12">
        <f>VLOOKUP(A9,Dataset!$A$1:$T$40,20,FALSE)</f>
        <v>17</v>
      </c>
      <c r="F9" s="8">
        <f>VLOOKUP(A9,Dataset!$A$1:$V$40,22,FALSE)</f>
        <v>8.1</v>
      </c>
      <c r="O9" s="41"/>
    </row>
    <row r="10" spans="1:15" ht="21" x14ac:dyDescent="0.4">
      <c r="A10" s="7" t="s">
        <v>11</v>
      </c>
      <c r="B10" s="12">
        <f>VLOOKUP(A10,Dataset!$A$2:$G$40,7,FALSE)</f>
        <v>9.4</v>
      </c>
      <c r="C10" s="12">
        <f>VLOOKUP(A10,Dataset!$A$1:$N$40,14,FALSE)</f>
        <v>28.3</v>
      </c>
      <c r="D10" s="12">
        <f>VLOOKUP(A10,Dataset!$A$1:$R$40,18,FALSE)</f>
        <v>16.100000000000001</v>
      </c>
      <c r="E10" s="12">
        <f>VLOOKUP(A10,Dataset!$A$1:$T$40,20,FALSE)</f>
        <v>32.799999999999997</v>
      </c>
      <c r="F10" s="8">
        <f>VLOOKUP(A10,Dataset!$A$1:$V$40,22,FALSE)</f>
        <v>16.100000000000001</v>
      </c>
      <c r="O10" s="41"/>
    </row>
    <row r="11" spans="1:15" ht="21" x14ac:dyDescent="0.4">
      <c r="A11" s="7" t="s">
        <v>12</v>
      </c>
      <c r="B11" s="12">
        <f>VLOOKUP(A11,Dataset!$A$2:$G$40,7,FALSE)</f>
        <v>11.6</v>
      </c>
      <c r="C11" s="12">
        <f>VLOOKUP(A11,Dataset!$A$1:$N$40,14,FALSE)</f>
        <v>35.200000000000003</v>
      </c>
      <c r="D11" s="12">
        <f>VLOOKUP(A11,Dataset!$A$1:$R$40,18,FALSE)</f>
        <v>21.3</v>
      </c>
      <c r="E11" s="12">
        <f>VLOOKUP(A11,Dataset!$A$1:$T$40,20,FALSE)</f>
        <v>43</v>
      </c>
      <c r="F11" s="8">
        <f>VLOOKUP(A11,Dataset!$A$1:$V$40,22,FALSE)</f>
        <v>21.3</v>
      </c>
      <c r="O11" s="41"/>
    </row>
    <row r="12" spans="1:15" ht="21" x14ac:dyDescent="0.4">
      <c r="A12" s="7" t="s">
        <v>14</v>
      </c>
      <c r="B12" s="12">
        <f>VLOOKUP(A12,Dataset!$A$2:$G$40,7,FALSE)</f>
        <v>18.399999999999999</v>
      </c>
      <c r="C12" s="12">
        <f>VLOOKUP(A12,Dataset!$A$1:$N$40,14,FALSE)</f>
        <v>55.6</v>
      </c>
      <c r="D12" s="12">
        <f>VLOOKUP(A12,Dataset!$A$1:$R$40,18,FALSE)</f>
        <v>33.799999999999997</v>
      </c>
      <c r="E12" s="12">
        <f>VLOOKUP(A12,Dataset!$A$1:$T$40,20,FALSE)</f>
        <v>67.900000000000006</v>
      </c>
      <c r="F12" s="8">
        <f>VLOOKUP(A12,Dataset!$A$1:$V$40,22,FALSE)</f>
        <v>33.799999999999997</v>
      </c>
      <c r="O12" s="41"/>
    </row>
    <row r="13" spans="1:15" ht="21" x14ac:dyDescent="0.4">
      <c r="A13" s="7" t="s">
        <v>15</v>
      </c>
      <c r="B13" s="12">
        <f>VLOOKUP(A13,Dataset!$A$2:$G$40,7,FALSE)</f>
        <v>0</v>
      </c>
      <c r="C13" s="12">
        <f>VLOOKUP(A13,Dataset!$A$1:$N$40,14,FALSE)</f>
        <v>0</v>
      </c>
      <c r="D13" s="12">
        <f>VLOOKUP(A13,Dataset!$A$1:$R$40,18,FALSE)</f>
        <v>0</v>
      </c>
      <c r="E13" s="12">
        <f>VLOOKUP(A13,Dataset!$A$1:$T$40,20,FALSE)</f>
        <v>0</v>
      </c>
      <c r="F13" s="8">
        <f>VLOOKUP(A13,Dataset!$A$1:$V$40,22,FALSE)</f>
        <v>0</v>
      </c>
      <c r="O13" s="41"/>
    </row>
    <row r="14" spans="1:15" ht="21" x14ac:dyDescent="0.4">
      <c r="A14" s="7" t="s">
        <v>16</v>
      </c>
      <c r="B14" s="12">
        <f>VLOOKUP(A14,Dataset!$A$2:$G$40,7,FALSE)</f>
        <v>21.9</v>
      </c>
      <c r="C14" s="12">
        <f>VLOOKUP(A14,Dataset!$A$1:$N$40,14,FALSE)</f>
        <v>61.5</v>
      </c>
      <c r="D14" s="12">
        <f>VLOOKUP(A14,Dataset!$A$1:$R$40,18,FALSE)</f>
        <v>40.1</v>
      </c>
      <c r="E14" s="12">
        <f>VLOOKUP(A14,Dataset!$A$1:$T$40,20,FALSE)</f>
        <v>76.599999999999994</v>
      </c>
      <c r="F14" s="8">
        <f>VLOOKUP(A14,Dataset!$A$1:$V$40,22,FALSE)</f>
        <v>40.1</v>
      </c>
      <c r="O14" s="41"/>
    </row>
    <row r="15" spans="1:15" ht="21" x14ac:dyDescent="0.4">
      <c r="A15" s="7" t="s">
        <v>18</v>
      </c>
      <c r="B15" s="12">
        <f>VLOOKUP(A15,Dataset!$A$2:$G$40,7,FALSE)</f>
        <v>26.8</v>
      </c>
      <c r="C15" s="12">
        <f>VLOOKUP(A15,Dataset!$A$1:$N$40,14,FALSE)</f>
        <v>79.599999999999994</v>
      </c>
      <c r="D15" s="12">
        <f>VLOOKUP(A15,Dataset!$A$1:$R$40,18,FALSE)</f>
        <v>47.9</v>
      </c>
      <c r="E15" s="12">
        <f>VLOOKUP(A15,Dataset!$A$1:$T$40,20,FALSE)</f>
        <v>96.8</v>
      </c>
      <c r="F15" s="8">
        <f>VLOOKUP(A15,Dataset!$A$1:$V$40,22,FALSE)</f>
        <v>47.9</v>
      </c>
      <c r="O15" s="41"/>
    </row>
    <row r="16" spans="1:15" ht="21" x14ac:dyDescent="0.4">
      <c r="A16" s="7" t="s">
        <v>20</v>
      </c>
      <c r="B16" s="12">
        <f>VLOOKUP(A16,Dataset!$A$2:$G$40,7,FALSE)</f>
        <v>28.5</v>
      </c>
      <c r="C16" s="12">
        <f>VLOOKUP(A16,Dataset!$A$1:$N$40,14,FALSE)</f>
        <v>85.4</v>
      </c>
      <c r="D16" s="12">
        <f>VLOOKUP(A16,Dataset!$A$1:$R$40,18,FALSE)</f>
        <v>52.3</v>
      </c>
      <c r="E16" s="12">
        <f>VLOOKUP(A16,Dataset!$A$1:$T$40,20,FALSE)</f>
        <v>106.1</v>
      </c>
      <c r="F16" s="8">
        <f>VLOOKUP(A16,Dataset!$A$1:$V$40,22,FALSE)</f>
        <v>52.3</v>
      </c>
      <c r="O16" s="41"/>
    </row>
    <row r="17" spans="1:15" ht="21" x14ac:dyDescent="0.4">
      <c r="A17" s="7" t="s">
        <v>22</v>
      </c>
      <c r="B17" s="12">
        <f>VLOOKUP(A17,Dataset!$A$2:$G$40,7,FALSE)</f>
        <v>30.7</v>
      </c>
      <c r="C17" s="12">
        <f>VLOOKUP(A17,Dataset!$A$1:$N$40,14,FALSE)</f>
        <v>92.1</v>
      </c>
      <c r="D17" s="12">
        <f>VLOOKUP(A17,Dataset!$A$1:$R$40,18,FALSE)</f>
        <v>57</v>
      </c>
      <c r="E17" s="12">
        <f>VLOOKUP(A17,Dataset!$A$1:$T$40,20,FALSE)</f>
        <v>115.1</v>
      </c>
      <c r="F17" s="8">
        <f>VLOOKUP(A17,Dataset!$A$1:$V$40,22,FALSE)</f>
        <v>57</v>
      </c>
      <c r="O17" s="41"/>
    </row>
    <row r="18" spans="1:15" ht="21" x14ac:dyDescent="0.4">
      <c r="A18" s="7" t="s">
        <v>23</v>
      </c>
      <c r="B18" s="12">
        <f>VLOOKUP(A18,Dataset!$A$2:$G$40,7,FALSE)</f>
        <v>33.799999999999997</v>
      </c>
      <c r="C18" s="12">
        <f>VLOOKUP(A18,Dataset!$A$1:$N$40,14,FALSE)</f>
        <v>101.3</v>
      </c>
      <c r="D18" s="12">
        <f>VLOOKUP(A18,Dataset!$A$1:$R$40,18,FALSE)</f>
        <v>61.4</v>
      </c>
      <c r="E18" s="12">
        <f>VLOOKUP(A18,Dataset!$A$1:$T$40,20,FALSE)</f>
        <v>124.4</v>
      </c>
      <c r="F18" s="8">
        <f>VLOOKUP(A18,Dataset!$A$1:$V$40,22,FALSE)</f>
        <v>61.4</v>
      </c>
      <c r="O18" s="41"/>
    </row>
    <row r="19" spans="1:15" ht="21" x14ac:dyDescent="0.4">
      <c r="A19" s="7" t="s">
        <v>24</v>
      </c>
      <c r="B19" s="12">
        <f>VLOOKUP(A19,Dataset!$A$2:$G$40,7,FALSE)</f>
        <v>34.700000000000003</v>
      </c>
      <c r="C19" s="12">
        <f>VLOOKUP(A19,Dataset!$A$1:$N$40,14,FALSE)</f>
        <v>106.1</v>
      </c>
      <c r="D19" s="12">
        <f>VLOOKUP(A19,Dataset!$A$1:$R$40,18,FALSE)</f>
        <v>63.6</v>
      </c>
      <c r="E19" s="12">
        <f>VLOOKUP(A19,Dataset!$A$1:$T$40,20,FALSE)</f>
        <v>128.6</v>
      </c>
      <c r="F19" s="8">
        <f>VLOOKUP(A19,Dataset!$A$1:$V$40,22,FALSE)</f>
        <v>63.6</v>
      </c>
      <c r="O19" s="41"/>
    </row>
    <row r="20" spans="1:15" ht="21" x14ac:dyDescent="0.4">
      <c r="A20" s="7" t="s">
        <v>28</v>
      </c>
      <c r="B20" s="12">
        <f>VLOOKUP(A20,Dataset!$A$2:$G$40,7,FALSE)</f>
        <v>0</v>
      </c>
      <c r="C20" s="12">
        <f>VLOOKUP(A20,Dataset!$A$1:$N$40,14,FALSE)</f>
        <v>0</v>
      </c>
      <c r="D20" s="12">
        <f>VLOOKUP(A20,Dataset!$A$1:$R$40,18,FALSE)</f>
        <v>0</v>
      </c>
      <c r="E20" s="12">
        <f>VLOOKUP(A20,Dataset!$A$1:$T$40,20,FALSE)</f>
        <v>0</v>
      </c>
      <c r="F20" s="8">
        <f>VLOOKUP(A20,Dataset!$A$1:$V$40,22,FALSE)</f>
        <v>0</v>
      </c>
      <c r="O20" s="41"/>
    </row>
    <row r="21" spans="1:15" ht="21" x14ac:dyDescent="0.4">
      <c r="A21" s="7" t="s">
        <v>57</v>
      </c>
      <c r="B21" s="12">
        <f>VLOOKUP(A21,Dataset!$A$2:$G$40,7,FALSE)</f>
        <v>41.3</v>
      </c>
      <c r="C21" s="12">
        <f>VLOOKUP(A21,Dataset!$A$1:$N$40,14,FALSE)</f>
        <v>124.4</v>
      </c>
      <c r="D21" s="12">
        <f>VLOOKUP(A21,Dataset!$A$1:$R$40,18,FALSE)</f>
        <v>75</v>
      </c>
      <c r="E21" s="12">
        <f>VLOOKUP(A21,Dataset!$A$1:$T$40,20,FALSE)</f>
        <v>151.5</v>
      </c>
      <c r="F21" s="8">
        <f>VLOOKUP(A21,Dataset!$A$1:$V$40,22,FALSE)</f>
        <v>75</v>
      </c>
      <c r="O21" s="41"/>
    </row>
    <row r="22" spans="1:15" ht="21" x14ac:dyDescent="0.4">
      <c r="A22" s="7" t="s">
        <v>58</v>
      </c>
      <c r="B22" s="12">
        <f>VLOOKUP(A22,Dataset!$A$2:$G$40,7,FALSE)</f>
        <v>-1</v>
      </c>
      <c r="C22" s="12">
        <f>VLOOKUP(A22,Dataset!$A$1:$N$40,14,FALSE)</f>
        <v>-1</v>
      </c>
      <c r="D22" s="12">
        <f>VLOOKUP(A22,Dataset!$A$1:$R$40,18,FALSE)</f>
        <v>-1</v>
      </c>
      <c r="E22" s="12">
        <f>VLOOKUP(A22,Dataset!$A$1:$T$40,20,FALSE)</f>
        <v>-1</v>
      </c>
      <c r="F22" s="8">
        <f>VLOOKUP(A22,Dataset!$A$1:$V$40,22,FALSE)</f>
        <v>-1</v>
      </c>
      <c r="O22" s="41"/>
    </row>
    <row r="23" spans="1:15" ht="14.4" x14ac:dyDescent="0.3">
      <c r="A23" s="7" t="s">
        <v>31</v>
      </c>
      <c r="B23" s="12">
        <f>VLOOKUP(A23,Dataset!$A$2:$G$40,7,FALSE)</f>
        <v>45</v>
      </c>
      <c r="C23" s="12">
        <f>VLOOKUP(A23,Dataset!$A$1:$N$40,14,FALSE)</f>
        <v>133.4</v>
      </c>
      <c r="D23" s="12">
        <f>VLOOKUP(A23,Dataset!$A$1:$R$40,18,FALSE)</f>
        <v>79.400000000000006</v>
      </c>
      <c r="E23" s="12">
        <f>VLOOKUP(A23,Dataset!$A$1:$T$40,20,FALSE)</f>
        <v>160.9</v>
      </c>
      <c r="F23" s="8">
        <f>VLOOKUP(A23,Dataset!$A$1:$V$40,22,FALSE)</f>
        <v>79.400000000000006</v>
      </c>
    </row>
    <row r="24" spans="1:15" ht="14.4" x14ac:dyDescent="0.3">
      <c r="A24" s="7" t="s">
        <v>32</v>
      </c>
      <c r="B24" s="12">
        <f>VLOOKUP(A24,Dataset!$A$2:$G$40,7,FALSE)</f>
        <v>-1</v>
      </c>
      <c r="C24" s="12">
        <f>VLOOKUP(A24,Dataset!$A$1:$N$40,14,FALSE)</f>
        <v>-1</v>
      </c>
      <c r="D24" s="12">
        <f>VLOOKUP(A24,Dataset!$A$1:$R$40,18,FALSE)</f>
        <v>-1</v>
      </c>
      <c r="E24" s="12">
        <f>VLOOKUP(A24,Dataset!$A$1:$T$40,20,FALSE)</f>
        <v>-1</v>
      </c>
      <c r="F24" s="8">
        <f>VLOOKUP(A24,Dataset!$A$1:$V$40,22,FALSE)</f>
        <v>-1</v>
      </c>
    </row>
    <row r="25" spans="1:15" ht="14.4" x14ac:dyDescent="0.3">
      <c r="A25" s="7" t="s">
        <v>34</v>
      </c>
      <c r="B25" s="12">
        <f>VLOOKUP(A25,Dataset!$A$2:$G$40,7,FALSE)</f>
        <v>43.3</v>
      </c>
      <c r="C25" s="12">
        <f>VLOOKUP(A25,Dataset!$A$1:$N$40,14,FALSE)</f>
        <v>128.6</v>
      </c>
      <c r="D25" s="12">
        <f>VLOOKUP(A25,Dataset!$A$1:$R$40,18,FALSE)</f>
        <v>79.400000000000006</v>
      </c>
      <c r="E25" s="12">
        <f>VLOOKUP(A25,Dataset!$A$1:$T$40,20,FALSE)</f>
        <v>160.9</v>
      </c>
      <c r="F25" s="8">
        <f>VLOOKUP(A25,Dataset!$A$1:$V$40,22,FALSE)</f>
        <v>79.400000000000006</v>
      </c>
    </row>
    <row r="26" spans="1:15" ht="14.4" x14ac:dyDescent="0.3">
      <c r="A26" s="7" t="s">
        <v>37</v>
      </c>
      <c r="B26" s="12">
        <f>VLOOKUP(A26,Dataset!$A$2:$G$40,7,FALSE)</f>
        <v>49.1</v>
      </c>
      <c r="C26" s="12">
        <f>VLOOKUP(A26,Dataset!$A$1:$N$40,14,FALSE)</f>
        <v>146.80000000000001</v>
      </c>
      <c r="D26" s="12">
        <f>VLOOKUP(A26,Dataset!$A$1:$R$40,18,FALSE)</f>
        <v>90.9</v>
      </c>
      <c r="E26" s="12">
        <f>VLOOKUP(A26,Dataset!$A$1:$T$40,20,FALSE)</f>
        <v>183.5</v>
      </c>
      <c r="F26" s="8">
        <f>VLOOKUP(A26,Dataset!$A$1:$V$40,22,FALSE)</f>
        <v>90.9</v>
      </c>
    </row>
    <row r="27" spans="1:15" ht="14.4" x14ac:dyDescent="0.3">
      <c r="A27" s="7" t="s">
        <v>39</v>
      </c>
      <c r="B27" s="12">
        <f>VLOOKUP(A27,Dataset!$A$2:$G$40,7,FALSE)</f>
        <v>51.8</v>
      </c>
      <c r="C27" s="12">
        <f>VLOOKUP(A27,Dataset!$A$1:$N$40,14,FALSE)</f>
        <v>156.4</v>
      </c>
      <c r="D27" s="12">
        <f>VLOOKUP(A27,Dataset!$A$1:$R$40,18,FALSE)</f>
        <v>93.1</v>
      </c>
      <c r="E27" s="12">
        <f>VLOOKUP(A27,Dataset!$A$1:$T$40,20,FALSE)</f>
        <v>188.1</v>
      </c>
      <c r="F27" s="8">
        <f>VLOOKUP(A27,Dataset!$A$1:$V$40,22,FALSE)</f>
        <v>93.1</v>
      </c>
    </row>
    <row r="28" spans="1:15" ht="14.4" x14ac:dyDescent="0.3">
      <c r="A28" s="19" t="s">
        <v>82</v>
      </c>
      <c r="B28" s="17">
        <f>MIN(B6:B27)</f>
        <v>-1</v>
      </c>
      <c r="C28" s="17">
        <f>MIN(C6:C27)</f>
        <v>-1</v>
      </c>
      <c r="D28" s="17">
        <f t="shared" ref="C28:F28" si="0">MIN(D6:D27)</f>
        <v>-1</v>
      </c>
      <c r="E28" s="17">
        <f t="shared" si="0"/>
        <v>-1</v>
      </c>
      <c r="F28" s="17">
        <f t="shared" si="0"/>
        <v>-1</v>
      </c>
    </row>
    <row r="29" spans="1:15" ht="14.4" x14ac:dyDescent="0.3">
      <c r="A29" s="19" t="s">
        <v>83</v>
      </c>
      <c r="B29" s="17">
        <f>MAX(B6:B27)</f>
        <v>51.8</v>
      </c>
      <c r="C29" s="17">
        <f t="shared" ref="C29:F29" si="1">MAX(C6:C27)</f>
        <v>156.4</v>
      </c>
      <c r="D29" s="17">
        <f t="shared" si="1"/>
        <v>93.1</v>
      </c>
      <c r="E29" s="17">
        <f t="shared" si="1"/>
        <v>188.1</v>
      </c>
      <c r="F29" s="17">
        <f t="shared" si="1"/>
        <v>93.1</v>
      </c>
    </row>
    <row r="30" spans="1:15" ht="14.4" x14ac:dyDescent="0.3">
      <c r="A30" s="19" t="s">
        <v>84</v>
      </c>
      <c r="B30" s="17">
        <f>AVERAGE(B6:B27)</f>
        <v>20.827272727272728</v>
      </c>
      <c r="C30" s="17">
        <f t="shared" ref="C30:F30" si="2">AVERAGE(C6:C27)</f>
        <v>62.377272727272725</v>
      </c>
      <c r="D30" s="17">
        <f t="shared" si="2"/>
        <v>37.800000000000004</v>
      </c>
      <c r="E30" s="17">
        <f t="shared" si="2"/>
        <v>76.418181818181822</v>
      </c>
      <c r="F30" s="17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M54"/>
  <sheetViews>
    <sheetView topLeftCell="A10" zoomScaleNormal="100" workbookViewId="0">
      <selection activeCell="H16" sqref="H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3" s="41" customFormat="1" ht="21" x14ac:dyDescent="0.4">
      <c r="A1" s="42" t="s">
        <v>56</v>
      </c>
      <c r="B1" s="41" t="s">
        <v>174</v>
      </c>
    </row>
    <row r="2" spans="1:13" customFormat="1" ht="13.2" x14ac:dyDescent="0.25"/>
    <row r="3" spans="1:13" s="2" customFormat="1" x14ac:dyDescent="0.3">
      <c r="B3" s="1"/>
    </row>
    <row r="4" spans="1:13" s="2" customFormat="1" x14ac:dyDescent="0.3">
      <c r="B4" s="1" t="s">
        <v>151</v>
      </c>
    </row>
    <row r="5" spans="1:13" ht="18" x14ac:dyDescent="0.35">
      <c r="A5" s="43" t="s">
        <v>53</v>
      </c>
      <c r="B5" s="46" t="s">
        <v>181</v>
      </c>
      <c r="C5" s="46"/>
      <c r="D5" s="46"/>
    </row>
    <row r="6" spans="1:13" ht="18" x14ac:dyDescent="0.35">
      <c r="A6" s="43" t="s">
        <v>153</v>
      </c>
      <c r="B6" s="46" t="s">
        <v>182</v>
      </c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</row>
    <row r="7" spans="1:13" ht="18" x14ac:dyDescent="0.35">
      <c r="A7" s="43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</row>
    <row r="9" spans="1:13" ht="23.4" x14ac:dyDescent="0.45">
      <c r="A9" s="18" t="s">
        <v>165</v>
      </c>
      <c r="I9" s="2"/>
      <c r="J9" s="2"/>
    </row>
    <row r="10" spans="1:13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3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3" ht="23.4" x14ac:dyDescent="0.45">
      <c r="A14" s="18" t="s">
        <v>162</v>
      </c>
    </row>
    <row r="15" spans="1:13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3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2">
    <mergeCell ref="B5:D5"/>
    <mergeCell ref="B6:M7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H22"/>
  <sheetViews>
    <sheetView zoomScaleNormal="100" workbookViewId="0">
      <selection activeCell="E13" sqref="E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8" ht="21" x14ac:dyDescent="0.4">
      <c r="A1" s="42" t="s">
        <v>85</v>
      </c>
      <c r="B1" s="41" t="s">
        <v>167</v>
      </c>
    </row>
    <row r="2" spans="1:8" ht="18" x14ac:dyDescent="0.35">
      <c r="B2" s="40" t="s">
        <v>166</v>
      </c>
    </row>
    <row r="5" spans="1:8" ht="14.4" x14ac:dyDescent="0.3">
      <c r="B5" s="1" t="s">
        <v>151</v>
      </c>
    </row>
    <row r="6" spans="1:8" ht="14.4" x14ac:dyDescent="0.3">
      <c r="A6" s="3" t="s">
        <v>53</v>
      </c>
      <c r="B6" s="47" t="s">
        <v>183</v>
      </c>
      <c r="C6" s="47"/>
      <c r="D6" s="47"/>
      <c r="E6" s="47"/>
    </row>
    <row r="7" spans="1:8" ht="14.4" x14ac:dyDescent="0.3">
      <c r="A7" s="3" t="s">
        <v>153</v>
      </c>
      <c r="B7" s="47" t="s">
        <v>184</v>
      </c>
      <c r="C7" s="47"/>
      <c r="D7" s="47"/>
      <c r="E7" s="47"/>
      <c r="F7" s="47"/>
      <c r="G7" s="47"/>
      <c r="H7" s="47"/>
    </row>
    <row r="8" spans="1:8" x14ac:dyDescent="0.3">
      <c r="B8" s="47"/>
      <c r="C8" s="47"/>
      <c r="D8" s="47"/>
      <c r="E8" s="47"/>
      <c r="F8" s="47"/>
      <c r="G8" s="47"/>
      <c r="H8" s="47"/>
    </row>
    <row r="10" spans="1:8" ht="23.4" x14ac:dyDescent="0.45">
      <c r="A10" s="18" t="s">
        <v>162</v>
      </c>
    </row>
    <row r="11" spans="1:8" ht="14.4" x14ac:dyDescent="0.3">
      <c r="A11" s="32" t="s">
        <v>86</v>
      </c>
      <c r="B11" s="17" t="s">
        <v>87</v>
      </c>
      <c r="C11" s="17" t="s">
        <v>88</v>
      </c>
      <c r="D11" s="25"/>
    </row>
    <row r="12" spans="1:8" ht="14.4" x14ac:dyDescent="0.3">
      <c r="A12" s="32">
        <v>44927</v>
      </c>
      <c r="B12" s="17" t="s">
        <v>59</v>
      </c>
      <c r="C12" s="17">
        <v>200</v>
      </c>
      <c r="D12" s="25">
        <f>IFERROR(C12,20)</f>
        <v>200</v>
      </c>
    </row>
    <row r="13" spans="1:8" ht="14.4" x14ac:dyDescent="0.3">
      <c r="A13" s="32">
        <v>44928</v>
      </c>
      <c r="B13" s="17" t="s">
        <v>60</v>
      </c>
      <c r="C13" s="17" t="e">
        <v>#N/A</v>
      </c>
      <c r="D13" s="25">
        <f t="shared" ref="D13:D22" si="0">IFERROR(C13,20)</f>
        <v>20</v>
      </c>
    </row>
    <row r="14" spans="1:8" ht="14.4" x14ac:dyDescent="0.3">
      <c r="A14" s="32">
        <v>44929</v>
      </c>
      <c r="B14" s="17" t="s">
        <v>61</v>
      </c>
      <c r="C14" s="17">
        <v>50</v>
      </c>
      <c r="D14" s="25">
        <f t="shared" si="0"/>
        <v>50</v>
      </c>
    </row>
    <row r="15" spans="1:8" ht="14.4" x14ac:dyDescent="0.3">
      <c r="A15" s="32">
        <v>44930</v>
      </c>
      <c r="B15" s="17" t="s">
        <v>62</v>
      </c>
      <c r="C15" s="17" t="e">
        <v>#N/A</v>
      </c>
      <c r="D15" s="25">
        <f t="shared" si="0"/>
        <v>20</v>
      </c>
    </row>
    <row r="16" spans="1:8" ht="14.4" x14ac:dyDescent="0.3">
      <c r="A16" s="32">
        <v>44931</v>
      </c>
      <c r="B16" s="17" t="s">
        <v>63</v>
      </c>
      <c r="C16" s="17">
        <v>10</v>
      </c>
      <c r="D16" s="25">
        <f t="shared" si="0"/>
        <v>10</v>
      </c>
    </row>
    <row r="17" spans="1:4" ht="14.4" x14ac:dyDescent="0.3">
      <c r="A17" s="32">
        <v>44932</v>
      </c>
      <c r="B17" s="17" t="s">
        <v>154</v>
      </c>
      <c r="C17" s="17">
        <v>150</v>
      </c>
      <c r="D17" s="25">
        <f t="shared" si="0"/>
        <v>150</v>
      </c>
    </row>
    <row r="18" spans="1:4" ht="14.4" x14ac:dyDescent="0.3">
      <c r="A18" s="32">
        <v>44933</v>
      </c>
      <c r="B18" s="17" t="s">
        <v>155</v>
      </c>
      <c r="C18" s="17">
        <v>80</v>
      </c>
      <c r="D18" s="25">
        <f t="shared" si="0"/>
        <v>80</v>
      </c>
    </row>
    <row r="19" spans="1:4" ht="14.4" x14ac:dyDescent="0.3">
      <c r="A19" s="32">
        <v>44934</v>
      </c>
      <c r="B19" s="17" t="s">
        <v>156</v>
      </c>
      <c r="C19" s="17" t="e">
        <v>#N/A</v>
      </c>
      <c r="D19" s="25">
        <f t="shared" si="0"/>
        <v>20</v>
      </c>
    </row>
    <row r="20" spans="1:4" ht="14.4" x14ac:dyDescent="0.3">
      <c r="A20" s="32">
        <v>44935</v>
      </c>
      <c r="B20" s="17" t="s">
        <v>157</v>
      </c>
      <c r="C20" s="17">
        <v>30</v>
      </c>
      <c r="D20" s="25">
        <f t="shared" si="0"/>
        <v>30</v>
      </c>
    </row>
    <row r="21" spans="1:4" ht="14.4" x14ac:dyDescent="0.3">
      <c r="A21" s="32">
        <v>44936</v>
      </c>
      <c r="B21" s="17" t="s">
        <v>158</v>
      </c>
      <c r="C21" s="17" t="e">
        <v>#N/A</v>
      </c>
      <c r="D21" s="25">
        <f t="shared" si="0"/>
        <v>20</v>
      </c>
    </row>
    <row r="22" spans="1:4" ht="14.4" x14ac:dyDescent="0.3">
      <c r="C22" s="17" t="s">
        <v>159</v>
      </c>
      <c r="D22" s="25">
        <f>SUM(D12:D21)</f>
        <v>600</v>
      </c>
    </row>
  </sheetData>
  <mergeCells count="2">
    <mergeCell ref="B6:E6"/>
    <mergeCell ref="B7:H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T35"/>
  <sheetViews>
    <sheetView zoomScale="85" zoomScaleNormal="85" workbookViewId="0">
      <selection activeCell="K21" sqref="K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20" ht="21" x14ac:dyDescent="0.4">
      <c r="A1" s="42" t="s">
        <v>98</v>
      </c>
      <c r="B1" s="41" t="s">
        <v>175</v>
      </c>
    </row>
    <row r="3" spans="1:20" ht="14.4" x14ac:dyDescent="0.3">
      <c r="B3" s="1" t="s">
        <v>151</v>
      </c>
    </row>
    <row r="4" spans="1:20" ht="18" x14ac:dyDescent="0.35">
      <c r="A4" s="43" t="s">
        <v>53</v>
      </c>
      <c r="B4" s="1"/>
      <c r="C4" s="48" t="s">
        <v>185</v>
      </c>
      <c r="D4" s="48"/>
      <c r="E4" s="48"/>
      <c r="F4" s="48"/>
    </row>
    <row r="5" spans="1:20" ht="18" customHeight="1" x14ac:dyDescent="0.35">
      <c r="A5" s="43" t="s">
        <v>153</v>
      </c>
      <c r="B5" s="49" t="s">
        <v>186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</row>
    <row r="6" spans="1:20" ht="14.4" x14ac:dyDescent="0.3">
      <c r="A6" s="3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0" ht="13.8" customHeight="1" x14ac:dyDescent="0.3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</row>
    <row r="8" spans="1:20" ht="23.4" x14ac:dyDescent="0.45">
      <c r="A8" s="18" t="s">
        <v>162</v>
      </c>
      <c r="M8" s="18" t="s">
        <v>163</v>
      </c>
    </row>
    <row r="9" spans="1:20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20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20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20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20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20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20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20" ht="14.4" x14ac:dyDescent="0.3">
      <c r="A16" s="26" t="s">
        <v>95</v>
      </c>
      <c r="B16" s="25"/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9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9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9" ht="23.4" x14ac:dyDescent="0.45">
      <c r="A21" s="18" t="s">
        <v>168</v>
      </c>
    </row>
    <row r="22" spans="1:19" ht="14.4" x14ac:dyDescent="0.3">
      <c r="A22" s="14" t="s">
        <v>100</v>
      </c>
      <c r="B22" s="17" t="s">
        <v>101</v>
      </c>
      <c r="C22" s="16" t="s">
        <v>102</v>
      </c>
    </row>
    <row r="23" spans="1:19" ht="14.4" x14ac:dyDescent="0.3">
      <c r="A23" s="7">
        <v>10100</v>
      </c>
      <c r="B23" s="12">
        <v>10102</v>
      </c>
      <c r="C23" s="25">
        <f>INDEX($B$10:$I$18, MATCH(VLOOKUP(A23, $M$10:$N$18, 2, FALSE), $A$10:$A$18, 0), MATCH(VLOOKUP(B23, $M$10:$N$18, 2, FALSE), $B$9:$I$9, 0))</f>
        <v>95</v>
      </c>
    </row>
    <row r="24" spans="1:19" ht="14.4" customHeight="1" x14ac:dyDescent="0.3">
      <c r="A24" s="7">
        <v>10100</v>
      </c>
      <c r="B24" s="12">
        <v>10104</v>
      </c>
      <c r="C24" s="25">
        <f t="shared" ref="C24:C35" si="0">INDEX($B$10:$I$18, MATCH(VLOOKUP(A24, $M$10:$N$18, 2, FALSE), $A$10:$A$18, 0), MATCH(VLOOKUP(B24, $M$10:$N$18, 2, FALSE), $B$9:$I$9, 0))</f>
        <v>-1</v>
      </c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</row>
    <row r="25" spans="1:19" ht="14.4" customHeight="1" x14ac:dyDescent="0.3">
      <c r="A25" s="7">
        <v>10108</v>
      </c>
      <c r="B25" s="12">
        <v>10102</v>
      </c>
      <c r="C25" s="25">
        <f t="shared" si="0"/>
        <v>160</v>
      </c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</row>
    <row r="26" spans="1:19" ht="14.4" customHeight="1" x14ac:dyDescent="0.3">
      <c r="A26" s="7">
        <v>10100</v>
      </c>
      <c r="B26" s="12">
        <v>10106</v>
      </c>
      <c r="C26" s="25">
        <f t="shared" si="0"/>
        <v>185</v>
      </c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</row>
    <row r="27" spans="1:19" ht="14.4" x14ac:dyDescent="0.3">
      <c r="A27" s="7">
        <v>10108</v>
      </c>
      <c r="B27" s="12">
        <v>10110</v>
      </c>
      <c r="C27" s="25">
        <f t="shared" si="0"/>
        <v>50</v>
      </c>
    </row>
    <row r="28" spans="1:19" ht="14.4" customHeight="1" x14ac:dyDescent="0.3">
      <c r="A28" s="7">
        <v>10102</v>
      </c>
      <c r="B28" s="12">
        <v>10104</v>
      </c>
      <c r="C28" s="25">
        <f t="shared" si="0"/>
        <v>-1</v>
      </c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</row>
    <row r="29" spans="1:19" ht="14.4" customHeight="1" x14ac:dyDescent="0.3">
      <c r="A29" s="7">
        <v>10106</v>
      </c>
      <c r="B29" s="12">
        <v>10108</v>
      </c>
      <c r="C29" s="25">
        <f t="shared" si="0"/>
        <v>70</v>
      </c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</row>
    <row r="30" spans="1:19" ht="14.4" customHeight="1" x14ac:dyDescent="0.3">
      <c r="A30" s="7">
        <v>10102</v>
      </c>
      <c r="B30" s="12">
        <v>10106</v>
      </c>
      <c r="C30" s="25">
        <f t="shared" si="0"/>
        <v>90</v>
      </c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</row>
    <row r="31" spans="1:19" ht="14.4" x14ac:dyDescent="0.3">
      <c r="A31" s="7">
        <v>10110</v>
      </c>
      <c r="B31" s="12">
        <v>10114</v>
      </c>
      <c r="C31" s="25">
        <f t="shared" si="0"/>
        <v>180</v>
      </c>
    </row>
    <row r="32" spans="1:19" ht="14.4" x14ac:dyDescent="0.3">
      <c r="A32" s="7">
        <v>10104</v>
      </c>
      <c r="B32" s="12">
        <v>10106</v>
      </c>
      <c r="C32" s="25">
        <f t="shared" si="0"/>
        <v>60</v>
      </c>
    </row>
    <row r="33" spans="1:3" ht="14.4" x14ac:dyDescent="0.3">
      <c r="A33" s="7">
        <v>10110</v>
      </c>
      <c r="B33" s="12">
        <v>10112</v>
      </c>
      <c r="C33" s="25">
        <f t="shared" si="0"/>
        <v>115</v>
      </c>
    </row>
    <row r="34" spans="1:3" ht="14.4" x14ac:dyDescent="0.3">
      <c r="A34" s="7">
        <v>10100</v>
      </c>
      <c r="B34" s="12">
        <v>10114</v>
      </c>
      <c r="C34" s="25">
        <f>INDEX($B$10:$I$18, MATCH(VLOOKUP(A34, $M$10:$N$18, 2, FALSE), $A$10:$A$18, 0), MATCH(VLOOKUP(B34, $M$10:$N$18, 2, FALSE), $B$9:$I$9, 0))</f>
        <v>480</v>
      </c>
    </row>
    <row r="35" spans="1:3" ht="14.4" x14ac:dyDescent="0.3">
      <c r="A35" s="9">
        <v>10112</v>
      </c>
      <c r="B35" s="13">
        <v>10116</v>
      </c>
      <c r="C35" s="25">
        <f>INDEX($B$10:$J$18, MATCH(VLOOKUP(A35, $M$10:$N$18, 2, FALSE), $A$10:$A$18, 0), MATCH(VLOOKUP(B35, $M$10:$N$18, 2, FALSE), $B$9:$J$9, 0))</f>
        <v>105</v>
      </c>
    </row>
  </sheetData>
  <mergeCells count="2">
    <mergeCell ref="C4:F4"/>
    <mergeCell ref="B5:T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acer</cp:lastModifiedBy>
  <dcterms:created xsi:type="dcterms:W3CDTF">2015-02-10T17:33:11Z</dcterms:created>
  <dcterms:modified xsi:type="dcterms:W3CDTF">2024-10-22T08:04:58Z</dcterms:modified>
</cp:coreProperties>
</file>